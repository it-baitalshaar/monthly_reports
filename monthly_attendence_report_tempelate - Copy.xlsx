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T\OneDrive\Desktop\Cards_Attendance\Cards_Attendance\"/>
    </mc:Choice>
  </mc:AlternateContent>
  <xr:revisionPtr revIDLastSave="0" documentId="8_{7974BDBE-1D6C-446F-BA08-8CFD984D7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I3" i="1"/>
  <c r="B43" i="1"/>
  <c r="C40" i="1"/>
  <c r="C39" i="1" s="1"/>
  <c r="H39" i="1"/>
  <c r="F38" i="1"/>
  <c r="F42" i="1" s="1"/>
  <c r="E38" i="1"/>
  <c r="E42" i="1" s="1"/>
  <c r="D38" i="1"/>
  <c r="D42" i="1" s="1"/>
  <c r="C38" i="1"/>
  <c r="I37" i="1"/>
  <c r="I36" i="1"/>
  <c r="G35" i="1"/>
  <c r="I35" i="1" s="1"/>
  <c r="G34" i="1"/>
  <c r="I34" i="1" s="1"/>
  <c r="G33" i="1"/>
  <c r="I33" i="1" s="1"/>
  <c r="G32" i="1"/>
  <c r="I32" i="1" s="1"/>
  <c r="G31" i="1"/>
  <c r="I31" i="1" s="1"/>
  <c r="G30" i="1"/>
  <c r="I30" i="1" s="1"/>
  <c r="G29" i="1"/>
  <c r="I29" i="1" s="1"/>
  <c r="G28" i="1"/>
  <c r="I28" i="1" s="1"/>
  <c r="G27" i="1"/>
  <c r="I27" i="1" s="1"/>
  <c r="G26" i="1"/>
  <c r="I26" i="1" s="1"/>
  <c r="G25" i="1"/>
  <c r="I25" i="1" s="1"/>
  <c r="G24" i="1"/>
  <c r="I24" i="1" s="1"/>
  <c r="G23" i="1"/>
  <c r="I23" i="1" s="1"/>
  <c r="G22" i="1"/>
  <c r="G21" i="1"/>
  <c r="G20" i="1"/>
  <c r="I20" i="1" s="1"/>
  <c r="G19" i="1"/>
  <c r="I19" i="1" s="1"/>
  <c r="G18" i="1"/>
  <c r="I18" i="1" s="1"/>
  <c r="G17" i="1"/>
  <c r="I17" i="1" s="1"/>
  <c r="G16" i="1"/>
  <c r="I16" i="1" s="1"/>
  <c r="G15" i="1"/>
  <c r="I15" i="1" s="1"/>
  <c r="G14" i="1"/>
  <c r="I14" i="1" s="1"/>
  <c r="G13" i="1"/>
  <c r="I13" i="1" s="1"/>
  <c r="G12" i="1"/>
  <c r="I12" i="1" s="1"/>
  <c r="G11" i="1"/>
  <c r="I11" i="1" s="1"/>
  <c r="G10" i="1"/>
  <c r="I10" i="1" s="1"/>
  <c r="G9" i="1"/>
  <c r="I9" i="1" s="1"/>
  <c r="G8" i="1"/>
  <c r="I7" i="1"/>
  <c r="I22" i="1" l="1"/>
  <c r="I21" i="1"/>
  <c r="I39" i="1"/>
  <c r="I8" i="1"/>
  <c r="I4" i="1"/>
  <c r="C41" i="1"/>
  <c r="H41" i="1" s="1"/>
  <c r="I42" i="1"/>
</calcChain>
</file>

<file path=xl/sharedStrings.xml><?xml version="1.0" encoding="utf-8"?>
<sst xmlns="http://schemas.openxmlformats.org/spreadsheetml/2006/main" count="32" uniqueCount="32">
  <si>
    <t>بطاقة عامل</t>
  </si>
  <si>
    <t>بداية الشهر</t>
  </si>
  <si>
    <t>الراتب الاساسي :</t>
  </si>
  <si>
    <t>نهاية الشهر</t>
  </si>
  <si>
    <t xml:space="preserve">الراتب اليومي : </t>
  </si>
  <si>
    <t>اسم الموظف</t>
  </si>
  <si>
    <t>Abdullah Ghazi</t>
  </si>
  <si>
    <t>الشهر</t>
  </si>
  <si>
    <t>ساعة العامل :</t>
  </si>
  <si>
    <t>التاريخ</t>
  </si>
  <si>
    <t>الحضور</t>
  </si>
  <si>
    <t xml:space="preserve">ساعات العمل </t>
  </si>
  <si>
    <t xml:space="preserve">ساعات العمل الإضافية </t>
  </si>
  <si>
    <t>ساعات العمل خلال الإجازة</t>
  </si>
  <si>
    <t xml:space="preserve">ساعات العمل بالمناسبات الرسمية </t>
  </si>
  <si>
    <t>إجازة مرضية</t>
  </si>
  <si>
    <t>المشروع</t>
  </si>
  <si>
    <t>الاجمالي</t>
  </si>
  <si>
    <t>إجمالي عدد الساعات :</t>
  </si>
  <si>
    <t>الملاحظات :</t>
  </si>
  <si>
    <t>إجمالي عدد ايام الدوام :</t>
  </si>
  <si>
    <t>الاجازات المرضية</t>
  </si>
  <si>
    <t>إجمالي عدد ايام الغياب :</t>
  </si>
  <si>
    <t>قيمة الخصم الاضافي</t>
  </si>
  <si>
    <t>قيمة الخصم :</t>
  </si>
  <si>
    <t>مجموع الخصم :</t>
  </si>
  <si>
    <t>إجمالي الأجر بعد الخصم :</t>
  </si>
  <si>
    <t>: الإجمالي</t>
  </si>
  <si>
    <t xml:space="preserve">التاريخ : </t>
  </si>
  <si>
    <t xml:space="preserve">توقيع الموظف : </t>
  </si>
  <si>
    <t xml:space="preserve">توقيع المدير :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</si>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</sst>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AED&quot;* #,##0.00_-;\-&quot;AED&quot;* #,##0.00_-;_-&quot;AED&quot;* &quot;-&quot;??_-;_-@_-"/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[$-10000]dd/mm/yyyy;@"/>
    <numFmt numFmtId="168" formatCode="_([$AED]\ * #,##0_);_([$AED]\ * \(#,##0\);_([$AED]\ * &quot;-&quot;_);_(@_)"/>
    <numFmt numFmtId="170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9" tint="-0.24994659260841701"/>
      <name val="Tahoma"/>
      <family val="2"/>
    </font>
    <font>
      <sz val="14"/>
      <color theme="1"/>
      <name val="Tahoma"/>
      <family val="2"/>
    </font>
    <font>
      <sz val="14"/>
      <color theme="9" tint="-0.24994659260841701"/>
      <name val="Tahoma"/>
      <family val="2"/>
    </font>
    <font>
      <b/>
      <sz val="14"/>
      <color rgb="FFFFFFFF"/>
      <name val="Tahoma"/>
      <family val="2"/>
    </font>
    <font>
      <sz val="14"/>
      <color rgb="FF000000"/>
      <name val="Tahoma"/>
      <family val="2"/>
    </font>
    <font>
      <b/>
      <sz val="14"/>
      <color theme="0"/>
      <name val="Tahoma"/>
      <family val="2"/>
    </font>
    <font>
      <sz val="11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Arial"/>
      <family val="2"/>
    </font>
    <font>
      <b/>
      <sz val="14"/>
      <name val="Tahoma"/>
      <family val="2"/>
    </font>
    <font>
      <b/>
      <sz val="14"/>
      <name val="Segoe UI"/>
      <family val="2"/>
    </font>
    <font>
      <b/>
      <sz val="14"/>
      <color rgb="FF000000"/>
      <name val="Tahoma"/>
      <family val="2"/>
    </font>
    <font>
      <b/>
      <sz val="14"/>
      <color rgb="FFFF0000"/>
      <name val="Tahoma"/>
      <family val="2"/>
    </font>
    <font>
      <b/>
      <sz val="14"/>
      <color rgb="FF00B050"/>
      <name val="Tahoma"/>
      <family val="2"/>
    </font>
    <font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>
      <alignment vertical="center" wrapText="1"/>
    </xf>
    <xf numFmtId="2" fontId="11" fillId="0" borderId="0">
      <alignment horizontal="center" vertical="center"/>
    </xf>
    <xf numFmtId="0" fontId="13" fillId="0" borderId="5">
      <alignment horizontal="center"/>
    </xf>
    <xf numFmtId="168" fontId="18" fillId="11" borderId="5">
      <alignment horizontal="center" vertical="center" readingOrder="2"/>
    </xf>
  </cellStyleXfs>
  <cellXfs count="60">
    <xf numFmtId="0" fontId="0" fillId="0" borderId="0" xfId="0"/>
    <xf numFmtId="0" fontId="8" fillId="3" borderId="3" xfId="0" applyFont="1" applyFill="1" applyBorder="1" applyAlignment="1">
      <alignment horizontal="center" vertical="center" wrapText="1" readingOrder="2"/>
    </xf>
    <xf numFmtId="164" fontId="9" fillId="4" borderId="0" xfId="0" applyNumberFormat="1" applyFont="1" applyFill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 vertical="center" wrapText="1" readingOrder="2"/>
    </xf>
    <xf numFmtId="165" fontId="6" fillId="6" borderId="4" xfId="1" applyNumberFormat="1" applyFont="1" applyFill="1" applyBorder="1" applyAlignment="1">
      <alignment horizontal="center" vertical="center"/>
    </xf>
    <xf numFmtId="166" fontId="6" fillId="6" borderId="4" xfId="1" applyNumberFormat="1" applyFont="1" applyFill="1" applyBorder="1" applyAlignment="1">
      <alignment horizontal="center" vertical="center"/>
    </xf>
    <xf numFmtId="44" fontId="6" fillId="6" borderId="4" xfId="1" applyNumberFormat="1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readingOrder="2"/>
    </xf>
    <xf numFmtId="0" fontId="12" fillId="0" borderId="6" xfId="0" applyFont="1" applyBorder="1" applyAlignment="1">
      <alignment horizontal="center" vertical="center" readingOrder="2"/>
    </xf>
    <xf numFmtId="0" fontId="12" fillId="0" borderId="6" xfId="0" applyFont="1" applyBorder="1" applyAlignment="1">
      <alignment horizontal="center" vertical="center" wrapText="1" readingOrder="2"/>
    </xf>
    <xf numFmtId="0" fontId="12" fillId="0" borderId="6" xfId="0" applyFont="1" applyBorder="1" applyAlignment="1">
      <alignment horizontal="center" vertical="center" wrapText="1"/>
    </xf>
    <xf numFmtId="1" fontId="15" fillId="0" borderId="5" xfId="7" applyNumberFormat="1" applyFont="1" applyBorder="1">
      <alignment horizontal="center" vertical="center"/>
    </xf>
    <xf numFmtId="1" fontId="12" fillId="8" borderId="5" xfId="7" applyNumberFormat="1" applyFont="1" applyFill="1" applyBorder="1" applyAlignment="1">
      <alignment horizontal="center" vertical="center" readingOrder="2"/>
    </xf>
    <xf numFmtId="0" fontId="16" fillId="9" borderId="5" xfId="0" applyFont="1" applyFill="1" applyBorder="1" applyAlignment="1">
      <alignment horizontal="center" vertical="center" readingOrder="2"/>
    </xf>
    <xf numFmtId="0" fontId="12" fillId="0" borderId="5" xfId="1" applyNumberFormat="1" applyFont="1" applyBorder="1" applyAlignment="1">
      <alignment horizontal="center" vertical="center" readingOrder="2"/>
    </xf>
    <xf numFmtId="0" fontId="12" fillId="10" borderId="5" xfId="7" applyNumberFormat="1" applyFont="1" applyFill="1" applyBorder="1" applyAlignment="1">
      <alignment horizontal="center" vertical="center" readingOrder="2"/>
    </xf>
    <xf numFmtId="166" fontId="12" fillId="8" borderId="5" xfId="1" applyNumberFormat="1" applyFont="1" applyFill="1" applyBorder="1" applyAlignment="1">
      <alignment horizontal="center" vertical="center" readingOrder="2"/>
    </xf>
    <xf numFmtId="0" fontId="12" fillId="10" borderId="10" xfId="4" applyFont="1" applyFill="1" applyBorder="1" applyAlignment="1">
      <alignment vertical="center" readingOrder="2"/>
    </xf>
    <xf numFmtId="0" fontId="14" fillId="10" borderId="13" xfId="3" applyFont="1" applyFill="1" applyBorder="1" applyAlignment="1">
      <alignment wrapText="1" readingOrder="2"/>
    </xf>
    <xf numFmtId="0" fontId="0" fillId="10" borderId="0" xfId="0" applyFill="1"/>
    <xf numFmtId="14" fontId="12" fillId="10" borderId="0" xfId="4" applyNumberFormat="1" applyFont="1" applyFill="1" applyBorder="1" applyAlignment="1">
      <alignment horizontal="right" vertical="center" readingOrder="2"/>
    </xf>
    <xf numFmtId="0" fontId="12" fillId="10" borderId="0" xfId="4" applyFont="1" applyFill="1" applyBorder="1" applyAlignment="1">
      <alignment horizontal="right" vertical="center" readingOrder="2"/>
    </xf>
    <xf numFmtId="0" fontId="12" fillId="10" borderId="13" xfId="0" applyFont="1" applyFill="1" applyBorder="1" applyAlignment="1">
      <alignment vertical="center" wrapText="1" readingOrder="2"/>
    </xf>
    <xf numFmtId="0" fontId="14" fillId="10" borderId="13" xfId="3" applyFont="1" applyFill="1" applyBorder="1" applyAlignment="1">
      <alignment vertical="center" wrapText="1" readingOrder="2"/>
    </xf>
    <xf numFmtId="1" fontId="19" fillId="11" borderId="5" xfId="7" applyNumberFormat="1" applyFont="1" applyFill="1" applyBorder="1" applyAlignment="1">
      <alignment horizontal="center" vertical="center" wrapText="1" readingOrder="2"/>
    </xf>
    <xf numFmtId="0" fontId="6" fillId="2" borderId="0" xfId="5" applyFont="1" applyAlignment="1">
      <alignment horizontal="center" vertical="center" wrapText="1"/>
    </xf>
    <xf numFmtId="0" fontId="13" fillId="11" borderId="5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11" borderId="5" xfId="0" applyFont="1" applyFill="1" applyBorder="1" applyAlignment="1">
      <alignment horizontal="center" vertical="center"/>
    </xf>
    <xf numFmtId="1" fontId="12" fillId="0" borderId="5" xfId="7" applyNumberFormat="1" applyFont="1" applyBorder="1" applyAlignment="1">
      <alignment horizontal="center" vertical="center" readingOrder="2"/>
    </xf>
    <xf numFmtId="1" fontId="19" fillId="0" borderId="5" xfId="7" applyNumberFormat="1" applyFont="1" applyBorder="1" applyAlignment="1">
      <alignment horizontal="center" vertical="center" wrapText="1" readingOrder="2"/>
    </xf>
    <xf numFmtId="0" fontId="12" fillId="0" borderId="5" xfId="6" applyNumberFormat="1" applyFont="1" applyBorder="1" applyAlignment="1">
      <alignment horizontal="center" vertical="center" readingOrder="2"/>
    </xf>
    <xf numFmtId="0" fontId="12" fillId="8" borderId="5" xfId="7" applyNumberFormat="1" applyFont="1" applyFill="1" applyBorder="1" applyAlignment="1">
      <alignment horizontal="center" vertical="center" readingOrder="2"/>
    </xf>
    <xf numFmtId="0" fontId="17" fillId="12" borderId="14" xfId="4" applyFont="1" applyFill="1" applyBorder="1" applyAlignment="1">
      <alignment horizontal="center" vertical="center" wrapText="1" readingOrder="2"/>
    </xf>
    <xf numFmtId="1" fontId="12" fillId="0" borderId="5" xfId="7" applyNumberFormat="1" applyFont="1" applyBorder="1">
      <alignment horizontal="center" vertical="center"/>
    </xf>
    <xf numFmtId="0" fontId="12" fillId="12" borderId="14" xfId="4" applyFont="1" applyFill="1" applyBorder="1" applyAlignment="1">
      <alignment horizontal="center" vertical="center" readingOrder="2"/>
    </xf>
    <xf numFmtId="0" fontId="16" fillId="0" borderId="5" xfId="0" applyFont="1" applyBorder="1" applyAlignment="1">
      <alignment horizontal="center" vertical="center" readingOrder="1"/>
    </xf>
    <xf numFmtId="167" fontId="12" fillId="6" borderId="5" xfId="6" applyNumberFormat="1" applyFont="1" applyFill="1" applyBorder="1" applyAlignment="1">
      <alignment horizontal="center" vertical="center" readingOrder="2"/>
    </xf>
    <xf numFmtId="167" fontId="12" fillId="0" borderId="5" xfId="6" applyNumberFormat="1" applyFont="1" applyBorder="1" applyAlignment="1">
      <alignment horizontal="center" vertical="center" readingOrder="2"/>
    </xf>
    <xf numFmtId="168" fontId="12" fillId="8" borderId="5" xfId="7" applyNumberFormat="1" applyFont="1" applyFill="1" applyBorder="1" applyAlignment="1">
      <alignment horizontal="center" vertical="center" readingOrder="2"/>
    </xf>
    <xf numFmtId="168" fontId="12" fillId="0" borderId="5" xfId="1" applyNumberFormat="1" applyFont="1" applyBorder="1" applyAlignment="1">
      <alignment horizontal="center" vertical="center" readingOrder="2"/>
    </xf>
    <xf numFmtId="168" fontId="17" fillId="0" borderId="5" xfId="1" applyNumberFormat="1" applyFont="1" applyBorder="1" applyAlignment="1">
      <alignment horizontal="center" vertical="center" readingOrder="2"/>
    </xf>
    <xf numFmtId="168" fontId="18" fillId="11" borderId="5" xfId="1" applyNumberFormat="1" applyFont="1" applyFill="1" applyBorder="1" applyAlignment="1">
      <alignment horizontal="center" vertical="center" readingOrder="2"/>
    </xf>
    <xf numFmtId="0" fontId="0" fillId="0" borderId="16" xfId="0" applyBorder="1" applyAlignment="1">
      <alignment horizontal="center" vertical="center" wrapText="1"/>
    </xf>
    <xf numFmtId="0" fontId="0" fillId="0" borderId="0" xfId="0"/>
    <xf numFmtId="0" fontId="5" fillId="0" borderId="0" xfId="2" applyFont="1" applyAlignment="1">
      <alignment horizontal="center" vertical="center" readingOrder="2"/>
    </xf>
    <xf numFmtId="0" fontId="12" fillId="8" borderId="5" xfId="1" applyNumberFormat="1" applyFont="1" applyFill="1" applyBorder="1" applyAlignment="1">
      <alignment horizontal="center" vertical="center" readingOrder="2"/>
    </xf>
    <xf numFmtId="0" fontId="0" fillId="0" borderId="8" xfId="0" applyBorder="1"/>
    <xf numFmtId="0" fontId="0" fillId="0" borderId="9" xfId="0" applyBorder="1"/>
    <xf numFmtId="44" fontId="12" fillId="0" borderId="5" xfId="1" applyNumberFormat="1" applyFont="1" applyBorder="1" applyAlignment="1">
      <alignment horizontal="center" vertical="center" readingOrder="2"/>
    </xf>
    <xf numFmtId="0" fontId="0" fillId="0" borderId="7" xfId="0" applyBorder="1"/>
    <xf numFmtId="0" fontId="2" fillId="10" borderId="0" xfId="2" applyFill="1" applyAlignment="1">
      <alignment horizontal="center" vertical="center" readingOrder="2"/>
    </xf>
    <xf numFmtId="0" fontId="6" fillId="10" borderId="11" xfId="0" applyFont="1" applyFill="1" applyBorder="1" applyAlignment="1">
      <alignment horizontal="center" vertical="center" wrapText="1" readingOrder="2"/>
    </xf>
    <xf numFmtId="0" fontId="0" fillId="0" borderId="11" xfId="0" applyBorder="1"/>
    <xf numFmtId="0" fontId="12" fillId="12" borderId="5" xfId="4" applyFont="1" applyFill="1" applyBorder="1" applyAlignment="1">
      <alignment horizontal="center" vertical="center" readingOrder="2"/>
    </xf>
    <xf numFmtId="0" fontId="6" fillId="10" borderId="12" xfId="0" applyFont="1" applyFill="1" applyBorder="1" applyAlignment="1">
      <alignment horizontal="center" vertical="center" wrapText="1"/>
    </xf>
    <xf numFmtId="0" fontId="0" fillId="0" borderId="12" xfId="0" applyBorder="1"/>
    <xf numFmtId="0" fontId="7" fillId="10" borderId="0" xfId="2" applyFont="1" applyFill="1" applyAlignment="1">
      <alignment horizontal="center" vertical="center" readingOrder="2"/>
    </xf>
    <xf numFmtId="0" fontId="12" fillId="2" borderId="15" xfId="5" applyFont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 readingOrder="2"/>
    </xf>
  </cellXfs>
  <cellStyles count="10">
    <cellStyle name="40% - Accent6" xfId="5" builtinId="51"/>
    <cellStyle name="Currency" xfId="1" builtinId="4"/>
    <cellStyle name="Heading 2" xfId="3" builtinId="17"/>
    <cellStyle name="Normal" xfId="0" builtinId="0"/>
    <cellStyle name="Style 1" xfId="8" xr:uid="{00000000-0005-0000-0000-000008000000}"/>
    <cellStyle name="Style 2" xfId="9" xr:uid="{00000000-0005-0000-0000-000009000000}"/>
    <cellStyle name="Title" xfId="2" builtinId="15"/>
    <cellStyle name="Total" xfId="4" builtinId="25"/>
    <cellStyle name="التاريخ" xfId="6" xr:uid="{00000000-0005-0000-0000-000006000000}"/>
    <cellStyle name="الساعات" xfId="7" xr:uid="{00000000-0005-0000-0000-000007000000}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0"/>
        <color auto="1"/>
        <name val="Tahoma"/>
        <family val="2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4"/>
        <color auto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4"/>
        <name val="Tahoma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4"/>
        <name val="Tahoma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b/>
        <strike val="0"/>
        <outline val="0"/>
        <shadow val="0"/>
        <vertAlign val="baseline"/>
        <sz val="14"/>
        <name val="Tahoma"/>
      </font>
      <alignment horizontal="center"/>
    </dxf>
    <dxf>
      <font>
        <b/>
        <strike val="0"/>
        <outline val="0"/>
        <shadow val="0"/>
        <vertAlign val="baseline"/>
        <sz val="14"/>
        <name val="Tahoma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بطاقة_الوقت4517" displayName="بطاقة_الوقت4517" ref="B6:I37" headerRowDxfId="12" dataDxfId="11" totalsRowDxfId="10">
  <tableColumns count="8">
    <tableColumn id="2" xr3:uid="{00000000-0010-0000-0000-000002000000}" name="الحضور" dataDxfId="9" dataCellStyle="التاريخ"/>
    <tableColumn id="3" xr3:uid="{00000000-0010-0000-0000-000003000000}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xr3:uid="{00000000-0010-0000-0000-000004000000}" name="ساعات العمل الإضافية " totalsRowFunction="custom" dataDxfId="7" dataCellStyle="الساعات">
      <totalsRowFormula>SUM(D7:D37)</totalsRowFormula>
    </tableColumn>
    <tableColumn id="6" xr3:uid="{00000000-0010-0000-0000-000006000000}" name="ساعات العمل خلال الإجازة" totalsRowFunction="custom" dataDxfId="6" dataCellStyle="الساعات">
      <totalsRowFormula>SUM(E7:E37)</totalsRowFormula>
    </tableColumn>
    <tableColumn id="8" xr3:uid="{00000000-0010-0000-0000-000008000000}" name="ساعات العمل بالمناسبات الرسمية " dataDxfId="5" dataCellStyle="الساعات"/>
    <tableColumn id="5" xr3:uid="{00000000-0010-0000-0000-000005000000}" name="إجازة مرضية" totalsRowFunction="custom" dataDxfId="4" dataCellStyle="الساعات">
      <calculatedColumnFormula>IF(B7="SL","SL","")</calculatedColumnFormula>
      <totalsRowFormula>SUM(G7:G37)</totalsRowFormula>
    </tableColumn>
    <tableColumn id="7" xr3:uid="{00000000-0010-0000-0000-000007000000}" name="المشروع" totalsRowFunction="sum" dataDxfId="3" dataCellStyle="الساعات"/>
    <tableColumn id="9" xr3:uid="{00000000-0010-0000-0000-000009000000}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rightToLeft="1" tabSelected="1" topLeftCell="A3" workbookViewId="0">
      <selection activeCell="B43" sqref="B43"/>
    </sheetView>
  </sheetViews>
  <sheetFormatPr defaultColWidth="8.77734375" defaultRowHeight="14.4" x14ac:dyDescent="0.3"/>
  <cols>
    <col min="1" max="1" width="17.77734375" customWidth="1"/>
    <col min="2" max="2" width="18.77734375" customWidth="1"/>
    <col min="3" max="3" width="20.21875" customWidth="1"/>
    <col min="4" max="4" width="18.21875" customWidth="1"/>
    <col min="5" max="5" width="18.109375" customWidth="1"/>
    <col min="6" max="6" width="18.21875" customWidth="1"/>
    <col min="7" max="7" width="21.77734375" customWidth="1"/>
    <col min="8" max="9" width="18.21875" customWidth="1"/>
    <col min="10" max="75" width="8.77734375" customWidth="1"/>
  </cols>
  <sheetData>
    <row r="1" spans="1:16" ht="58.8" customHeight="1" x14ac:dyDescent="0.3">
      <c r="A1" s="59"/>
      <c r="B1" s="44"/>
      <c r="C1" s="44"/>
      <c r="D1" s="45" t="s">
        <v>0</v>
      </c>
      <c r="E1" s="44"/>
      <c r="F1" s="51"/>
      <c r="G1" s="44"/>
      <c r="H1" s="44"/>
      <c r="I1" s="44"/>
    </row>
    <row r="2" spans="1:16" ht="42.6" customHeight="1" x14ac:dyDescent="0.3">
      <c r="A2" s="44"/>
      <c r="B2" s="44"/>
      <c r="C2" s="44"/>
      <c r="D2" s="57"/>
      <c r="E2" s="1" t="s">
        <v>1</v>
      </c>
      <c r="F2" s="2">
        <v>46023</v>
      </c>
      <c r="G2" s="55"/>
      <c r="H2" s="3" t="s">
        <v>2</v>
      </c>
      <c r="I2" s="4"/>
    </row>
    <row r="3" spans="1:16" ht="35.4" customHeight="1" x14ac:dyDescent="0.3">
      <c r="A3" s="44"/>
      <c r="B3" s="44"/>
      <c r="C3" s="44"/>
      <c r="D3" s="44"/>
      <c r="E3" s="1" t="s">
        <v>3</v>
      </c>
      <c r="F3" s="2">
        <v>46053</v>
      </c>
      <c r="G3" s="56"/>
      <c r="H3" s="3" t="s">
        <v>4</v>
      </c>
      <c r="I3" s="5">
        <f>I2/DAY(EOMONTH(F3, 0))</f>
        <v>0</v>
      </c>
    </row>
    <row r="4" spans="1:16" ht="55.2" customHeight="1" x14ac:dyDescent="0.3">
      <c r="A4" s="1" t="s">
        <v>5</v>
      </c>
      <c r="B4" s="58" t="s">
        <v>6</v>
      </c>
      <c r="C4" s="44"/>
      <c r="D4" s="44"/>
      <c r="E4" s="3" t="s">
        <v>7</v>
      </c>
      <c r="F4" s="25" t="s">
        <v>31</v>
      </c>
      <c r="G4" s="56"/>
      <c r="H4" s="3" t="s">
        <v>8</v>
      </c>
      <c r="I4" s="6">
        <f>I3/8</f>
        <v>0</v>
      </c>
    </row>
    <row r="5" spans="1:16" ht="17.399999999999999" customHeight="1" x14ac:dyDescent="0.3">
      <c r="A5" s="52"/>
      <c r="B5" s="53"/>
      <c r="C5" s="53"/>
      <c r="D5" s="53"/>
      <c r="E5" s="53"/>
      <c r="F5" s="53"/>
      <c r="G5" s="53"/>
      <c r="H5" s="53"/>
      <c r="I5" s="53"/>
    </row>
    <row r="6" spans="1:16" ht="75.599999999999994" customHeight="1" x14ac:dyDescent="0.3">
      <c r="A6" s="7" t="s">
        <v>9</v>
      </c>
      <c r="B6" s="8" t="s">
        <v>10</v>
      </c>
      <c r="C6" s="8" t="s">
        <v>11</v>
      </c>
      <c r="D6" s="9" t="s">
        <v>12</v>
      </c>
      <c r="E6" s="9" t="s">
        <v>13</v>
      </c>
      <c r="F6" s="10" t="s">
        <v>14</v>
      </c>
      <c r="G6" s="8" t="s">
        <v>15</v>
      </c>
      <c r="H6" s="8" t="s">
        <v>16</v>
      </c>
      <c r="I6" s="8" t="s">
        <v>17</v>
      </c>
    </row>
    <row r="7" spans="1:16" ht="30" customHeight="1" x14ac:dyDescent="0.3">
      <c r="A7" s="37"/>
      <c r="B7" s="26"/>
      <c r="C7" s="26"/>
      <c r="D7" s="26"/>
      <c r="E7" s="26"/>
      <c r="F7" s="26"/>
      <c r="G7" s="26"/>
      <c r="H7" s="24"/>
      <c r="I7" s="28">
        <f t="shared" ref="I7:I21" si="0">IFERROR(IF(SUM(C7:G7)&gt;24,"إجمالي &gt; 24 ساعة.",SUM(C7:G7)), "")</f>
        <v>0</v>
      </c>
      <c r="J7" s="43"/>
      <c r="K7" s="44"/>
      <c r="L7" s="44"/>
      <c r="M7" s="44"/>
      <c r="N7" s="44"/>
      <c r="O7" s="44"/>
      <c r="P7" s="44"/>
    </row>
    <row r="8" spans="1:16" ht="30" customHeight="1" x14ac:dyDescent="0.3">
      <c r="A8" s="38"/>
      <c r="B8" s="27"/>
      <c r="C8" s="11"/>
      <c r="D8" s="27"/>
      <c r="E8" s="29"/>
      <c r="F8" s="34"/>
      <c r="G8" s="29" t="str">
        <f t="shared" ref="G8:G21" si="1">IF(B8="SL","SL","")</f>
        <v/>
      </c>
      <c r="H8" s="30"/>
      <c r="I8" s="34">
        <f t="shared" si="0"/>
        <v>0</v>
      </c>
      <c r="J8" s="43"/>
      <c r="K8" s="44"/>
      <c r="L8" s="44"/>
      <c r="M8" s="44"/>
      <c r="N8" s="44"/>
      <c r="O8" s="44"/>
      <c r="P8" s="44"/>
    </row>
    <row r="9" spans="1:16" ht="30" customHeight="1" x14ac:dyDescent="0.3">
      <c r="A9" s="37"/>
      <c r="B9" s="26"/>
      <c r="C9" s="26"/>
      <c r="D9" s="26"/>
      <c r="E9" s="26"/>
      <c r="F9" s="26"/>
      <c r="G9" s="26" t="str">
        <f t="shared" si="1"/>
        <v/>
      </c>
      <c r="H9" s="24"/>
      <c r="I9" s="28">
        <f t="shared" si="0"/>
        <v>0</v>
      </c>
      <c r="J9" s="43"/>
      <c r="K9" s="44"/>
      <c r="L9" s="44"/>
      <c r="M9" s="44"/>
      <c r="N9" s="44"/>
      <c r="O9" s="44"/>
      <c r="P9" s="44"/>
    </row>
    <row r="10" spans="1:16" ht="30" customHeight="1" x14ac:dyDescent="0.3">
      <c r="A10" s="38"/>
      <c r="B10" s="27"/>
      <c r="C10" s="11"/>
      <c r="D10" s="27"/>
      <c r="E10" s="29"/>
      <c r="F10" s="34"/>
      <c r="G10" s="29" t="str">
        <f t="shared" si="1"/>
        <v/>
      </c>
      <c r="H10" s="30"/>
      <c r="I10" s="34">
        <f t="shared" si="0"/>
        <v>0</v>
      </c>
      <c r="J10" s="43"/>
      <c r="K10" s="44"/>
      <c r="L10" s="44"/>
      <c r="M10" s="44"/>
      <c r="N10" s="44"/>
      <c r="O10" s="44"/>
      <c r="P10" s="44"/>
    </row>
    <row r="11" spans="1:16" ht="30" customHeight="1" x14ac:dyDescent="0.3">
      <c r="A11" s="37"/>
      <c r="B11" s="26"/>
      <c r="C11" s="26"/>
      <c r="D11" s="26"/>
      <c r="E11" s="26"/>
      <c r="F11" s="26"/>
      <c r="G11" s="26" t="str">
        <f t="shared" si="1"/>
        <v/>
      </c>
      <c r="H11" s="24"/>
      <c r="I11" s="28">
        <f t="shared" si="0"/>
        <v>0</v>
      </c>
      <c r="J11" s="43"/>
      <c r="K11" s="44"/>
      <c r="L11" s="44"/>
      <c r="M11" s="44"/>
      <c r="N11" s="44"/>
      <c r="O11" s="44"/>
      <c r="P11" s="44"/>
    </row>
    <row r="12" spans="1:16" ht="30" customHeight="1" x14ac:dyDescent="0.3">
      <c r="A12" s="38"/>
      <c r="B12" s="27"/>
      <c r="C12" s="11"/>
      <c r="D12" s="27"/>
      <c r="E12" s="29"/>
      <c r="F12" s="34"/>
      <c r="G12" s="29" t="str">
        <f t="shared" si="1"/>
        <v/>
      </c>
      <c r="H12" s="30"/>
      <c r="I12" s="34">
        <f t="shared" si="0"/>
        <v>0</v>
      </c>
      <c r="J12" s="43"/>
      <c r="K12" s="44"/>
      <c r="L12" s="44"/>
      <c r="M12" s="44"/>
      <c r="N12" s="44"/>
      <c r="O12" s="44"/>
      <c r="P12" s="44"/>
    </row>
    <row r="13" spans="1:16" ht="30" customHeight="1" x14ac:dyDescent="0.3">
      <c r="A13" s="38"/>
      <c r="B13" s="26"/>
      <c r="C13" s="26"/>
      <c r="D13" s="26"/>
      <c r="E13" s="26"/>
      <c r="F13" s="26"/>
      <c r="G13" s="26" t="str">
        <f t="shared" si="1"/>
        <v/>
      </c>
      <c r="H13" s="24"/>
      <c r="I13" s="28">
        <f t="shared" si="0"/>
        <v>0</v>
      </c>
      <c r="J13" s="43"/>
      <c r="K13" s="44"/>
      <c r="L13" s="44"/>
      <c r="M13" s="44"/>
      <c r="N13" s="44"/>
      <c r="O13" s="44"/>
      <c r="P13" s="44"/>
    </row>
    <row r="14" spans="1:16" ht="30" customHeight="1" x14ac:dyDescent="0.3">
      <c r="A14" s="38"/>
      <c r="B14" s="27"/>
      <c r="C14" s="11"/>
      <c r="D14" s="27"/>
      <c r="E14" s="34"/>
      <c r="F14" s="34"/>
      <c r="G14" s="29" t="str">
        <f t="shared" si="1"/>
        <v/>
      </c>
      <c r="H14" s="30"/>
      <c r="I14" s="34">
        <f t="shared" si="0"/>
        <v>0</v>
      </c>
      <c r="J14" s="43"/>
      <c r="K14" s="44"/>
      <c r="L14" s="44"/>
      <c r="M14" s="44"/>
      <c r="N14" s="44"/>
      <c r="O14" s="44"/>
      <c r="P14" s="44"/>
    </row>
    <row r="15" spans="1:16" ht="30" customHeight="1" x14ac:dyDescent="0.3">
      <c r="A15" s="37"/>
      <c r="B15" s="26"/>
      <c r="C15" s="26"/>
      <c r="D15" s="26"/>
      <c r="E15" s="26"/>
      <c r="F15" s="26"/>
      <c r="G15" s="26" t="str">
        <f t="shared" si="1"/>
        <v/>
      </c>
      <c r="H15" s="24"/>
      <c r="I15" s="28">
        <f t="shared" si="0"/>
        <v>0</v>
      </c>
      <c r="J15" s="43"/>
      <c r="K15" s="44"/>
      <c r="L15" s="44"/>
      <c r="M15" s="44"/>
      <c r="N15" s="44"/>
      <c r="O15" s="44"/>
      <c r="P15" s="44"/>
    </row>
    <row r="16" spans="1:16" ht="30" customHeight="1" x14ac:dyDescent="0.3">
      <c r="A16" s="38"/>
      <c r="B16" s="27"/>
      <c r="C16" s="11"/>
      <c r="D16" s="27"/>
      <c r="E16" s="34"/>
      <c r="F16" s="34"/>
      <c r="G16" s="29" t="str">
        <f t="shared" si="1"/>
        <v/>
      </c>
      <c r="H16" s="30"/>
      <c r="I16" s="34">
        <f t="shared" si="0"/>
        <v>0</v>
      </c>
      <c r="J16" s="43"/>
      <c r="K16" s="44"/>
      <c r="L16" s="44"/>
      <c r="M16" s="44"/>
      <c r="N16" s="44"/>
      <c r="O16" s="44"/>
      <c r="P16" s="44"/>
    </row>
    <row r="17" spans="1:16" ht="30" customHeight="1" x14ac:dyDescent="0.3">
      <c r="A17" s="37"/>
      <c r="B17" s="26"/>
      <c r="C17" s="26"/>
      <c r="D17" s="26"/>
      <c r="E17" s="26"/>
      <c r="F17" s="26"/>
      <c r="G17" s="26" t="str">
        <f t="shared" si="1"/>
        <v/>
      </c>
      <c r="H17" s="24"/>
      <c r="I17" s="28">
        <f t="shared" si="0"/>
        <v>0</v>
      </c>
      <c r="J17" s="43"/>
      <c r="K17" s="44"/>
      <c r="L17" s="44"/>
      <c r="M17" s="44"/>
      <c r="N17" s="44"/>
      <c r="O17" s="44"/>
      <c r="P17" s="44"/>
    </row>
    <row r="18" spans="1:16" ht="30" customHeight="1" x14ac:dyDescent="0.3">
      <c r="A18" s="38"/>
      <c r="B18" s="27"/>
      <c r="C18" s="11"/>
      <c r="D18" s="27"/>
      <c r="E18" s="34"/>
      <c r="F18" s="34"/>
      <c r="G18" s="29" t="str">
        <f t="shared" si="1"/>
        <v/>
      </c>
      <c r="H18" s="30"/>
      <c r="I18" s="34">
        <f t="shared" si="0"/>
        <v>0</v>
      </c>
      <c r="J18" s="43"/>
      <c r="K18" s="44"/>
      <c r="L18" s="44"/>
      <c r="M18" s="44"/>
      <c r="N18" s="44"/>
      <c r="O18" s="44"/>
      <c r="P18" s="44"/>
    </row>
    <row r="19" spans="1:16" ht="30" customHeight="1" x14ac:dyDescent="0.3">
      <c r="A19" s="37"/>
      <c r="B19" s="26"/>
      <c r="C19" s="26"/>
      <c r="D19" s="26"/>
      <c r="E19" s="26"/>
      <c r="F19" s="26"/>
      <c r="G19" s="26" t="str">
        <f t="shared" si="1"/>
        <v/>
      </c>
      <c r="H19" s="24"/>
      <c r="I19" s="28">
        <f t="shared" si="0"/>
        <v>0</v>
      </c>
      <c r="J19" s="43"/>
      <c r="K19" s="44"/>
      <c r="L19" s="44"/>
      <c r="M19" s="44"/>
      <c r="N19" s="44"/>
      <c r="O19" s="44"/>
      <c r="P19" s="44"/>
    </row>
    <row r="20" spans="1:16" ht="30" customHeight="1" x14ac:dyDescent="0.3">
      <c r="A20" s="38"/>
      <c r="B20" s="27"/>
      <c r="C20" s="11"/>
      <c r="D20" s="27"/>
      <c r="E20" s="34"/>
      <c r="F20" s="34"/>
      <c r="G20" s="29" t="str">
        <f t="shared" si="1"/>
        <v/>
      </c>
      <c r="H20" s="30"/>
      <c r="I20" s="34">
        <f t="shared" si="0"/>
        <v>0</v>
      </c>
      <c r="J20" s="43"/>
      <c r="K20" s="44"/>
      <c r="L20" s="44"/>
      <c r="M20" s="44"/>
      <c r="N20" s="44"/>
      <c r="O20" s="44"/>
      <c r="P20" s="44"/>
    </row>
    <row r="21" spans="1:16" ht="30" customHeight="1" x14ac:dyDescent="0.3">
      <c r="A21" s="37"/>
      <c r="B21" s="26"/>
      <c r="C21" s="26"/>
      <c r="D21" s="26"/>
      <c r="E21" s="26"/>
      <c r="F21" s="26"/>
      <c r="G21" s="26" t="str">
        <f t="shared" si="1"/>
        <v/>
      </c>
      <c r="H21" s="24"/>
      <c r="I21" s="28">
        <f t="shared" si="0"/>
        <v>0</v>
      </c>
      <c r="J21" s="43"/>
      <c r="K21" s="44"/>
      <c r="L21" s="44"/>
      <c r="M21" s="44"/>
      <c r="N21" s="44"/>
      <c r="O21" s="44"/>
      <c r="P21" s="44"/>
    </row>
    <row r="22" spans="1:16" ht="30" customHeight="1" x14ac:dyDescent="0.3">
      <c r="A22" s="38"/>
      <c r="B22" s="27"/>
      <c r="C22" s="11"/>
      <c r="D22" s="27"/>
      <c r="E22" s="34"/>
      <c r="F22" s="34"/>
      <c r="G22" s="29" t="str">
        <f>IF(B21="SL","SL","")</f>
        <v/>
      </c>
      <c r="H22" s="30"/>
      <c r="I22" s="34">
        <f>IFERROR(IF(SUM(C21:G21)&gt;24,"إجمالي &gt; 24 ساعة.",SUM(C21:G21)), "")</f>
        <v>0</v>
      </c>
      <c r="J22" s="43"/>
      <c r="K22" s="44"/>
      <c r="L22" s="44"/>
      <c r="M22" s="44"/>
      <c r="N22" s="44"/>
      <c r="O22" s="44"/>
      <c r="P22" s="44"/>
    </row>
    <row r="23" spans="1:16" ht="30" customHeight="1" x14ac:dyDescent="0.3">
      <c r="A23" s="37"/>
      <c r="B23" s="26"/>
      <c r="C23" s="26"/>
      <c r="D23" s="26"/>
      <c r="E23" s="26"/>
      <c r="F23" s="26"/>
      <c r="G23" s="26" t="str">
        <f t="shared" ref="G23:G35" si="2">IF(B23="SL","SL","")</f>
        <v/>
      </c>
      <c r="H23" s="24"/>
      <c r="I23" s="28">
        <f t="shared" ref="I23:I37" si="3">IFERROR(IF(SUM(C23:G23)&gt;24,"إجمالي &gt; 24 ساعة.",SUM(C23:G23)), "")</f>
        <v>0</v>
      </c>
      <c r="J23" s="43"/>
      <c r="K23" s="44"/>
      <c r="L23" s="44"/>
      <c r="M23" s="44"/>
      <c r="N23" s="44"/>
      <c r="O23" s="44"/>
      <c r="P23" s="44"/>
    </row>
    <row r="24" spans="1:16" ht="30" customHeight="1" x14ac:dyDescent="0.3">
      <c r="A24" s="38"/>
      <c r="B24" s="27"/>
      <c r="C24" s="11"/>
      <c r="D24" s="27"/>
      <c r="E24" s="34"/>
      <c r="F24" s="34"/>
      <c r="G24" s="29" t="str">
        <f t="shared" si="2"/>
        <v/>
      </c>
      <c r="H24" s="30"/>
      <c r="I24" s="34">
        <f t="shared" si="3"/>
        <v>0</v>
      </c>
      <c r="J24" s="43"/>
      <c r="K24" s="44"/>
      <c r="L24" s="44"/>
      <c r="M24" s="44"/>
      <c r="N24" s="44"/>
      <c r="O24" s="44"/>
      <c r="P24" s="44"/>
    </row>
    <row r="25" spans="1:16" ht="30" customHeight="1" x14ac:dyDescent="0.3">
      <c r="A25" s="37"/>
      <c r="B25" s="26"/>
      <c r="C25" s="26"/>
      <c r="D25" s="26"/>
      <c r="E25" s="26"/>
      <c r="F25" s="26"/>
      <c r="G25" s="26" t="str">
        <f t="shared" si="2"/>
        <v/>
      </c>
      <c r="H25" s="24"/>
      <c r="I25" s="28">
        <f t="shared" si="3"/>
        <v>0</v>
      </c>
      <c r="J25" s="43"/>
      <c r="K25" s="44"/>
      <c r="L25" s="44"/>
      <c r="M25" s="44"/>
      <c r="N25" s="44"/>
      <c r="O25" s="44"/>
      <c r="P25" s="44"/>
    </row>
    <row r="26" spans="1:16" ht="30" customHeight="1" x14ac:dyDescent="0.3">
      <c r="A26" s="38"/>
      <c r="B26" s="27"/>
      <c r="C26" s="11"/>
      <c r="D26" s="27"/>
      <c r="E26" s="34"/>
      <c r="F26" s="34"/>
      <c r="G26" s="29" t="str">
        <f t="shared" si="2"/>
        <v/>
      </c>
      <c r="H26" s="30"/>
      <c r="I26" s="34">
        <f t="shared" si="3"/>
        <v>0</v>
      </c>
      <c r="J26" s="43"/>
      <c r="K26" s="44"/>
      <c r="L26" s="44"/>
      <c r="M26" s="44"/>
      <c r="N26" s="44"/>
      <c r="O26" s="44"/>
      <c r="P26" s="44"/>
    </row>
    <row r="27" spans="1:16" ht="30" customHeight="1" x14ac:dyDescent="0.3">
      <c r="A27" s="37"/>
      <c r="B27" s="26"/>
      <c r="C27" s="26"/>
      <c r="D27" s="26"/>
      <c r="E27" s="26"/>
      <c r="F27" s="26"/>
      <c r="G27" s="26" t="str">
        <f t="shared" si="2"/>
        <v/>
      </c>
      <c r="H27" s="24"/>
      <c r="I27" s="28">
        <f t="shared" si="3"/>
        <v>0</v>
      </c>
      <c r="J27" s="43"/>
      <c r="K27" s="44"/>
      <c r="L27" s="44"/>
      <c r="M27" s="44"/>
      <c r="N27" s="44"/>
      <c r="O27" s="44"/>
      <c r="P27" s="44"/>
    </row>
    <row r="28" spans="1:16" ht="30" customHeight="1" x14ac:dyDescent="0.3">
      <c r="A28" s="38"/>
      <c r="B28" s="27"/>
      <c r="C28" s="11"/>
      <c r="D28" s="27"/>
      <c r="E28" s="34"/>
      <c r="F28" s="34"/>
      <c r="G28" s="29" t="str">
        <f t="shared" si="2"/>
        <v/>
      </c>
      <c r="H28" s="30"/>
      <c r="I28" s="34">
        <f t="shared" si="3"/>
        <v>0</v>
      </c>
      <c r="J28" s="43"/>
      <c r="K28" s="44"/>
      <c r="L28" s="44"/>
      <c r="M28" s="44"/>
      <c r="N28" s="44"/>
      <c r="O28" s="44"/>
      <c r="P28" s="44"/>
    </row>
    <row r="29" spans="1:16" ht="30" customHeight="1" x14ac:dyDescent="0.3">
      <c r="A29" s="37"/>
      <c r="B29" s="26"/>
      <c r="C29" s="26"/>
      <c r="D29" s="26"/>
      <c r="E29" s="26"/>
      <c r="F29" s="26"/>
      <c r="G29" s="26" t="str">
        <f t="shared" si="2"/>
        <v/>
      </c>
      <c r="H29" s="24"/>
      <c r="I29" s="28">
        <f t="shared" si="3"/>
        <v>0</v>
      </c>
      <c r="J29" s="43"/>
      <c r="K29" s="44"/>
      <c r="L29" s="44"/>
      <c r="M29" s="44"/>
      <c r="N29" s="44"/>
      <c r="O29" s="44"/>
      <c r="P29" s="44"/>
    </row>
    <row r="30" spans="1:16" ht="30" customHeight="1" x14ac:dyDescent="0.3">
      <c r="A30" s="38"/>
      <c r="B30" s="27"/>
      <c r="C30" s="11"/>
      <c r="D30" s="27"/>
      <c r="E30" s="34"/>
      <c r="F30" s="34"/>
      <c r="G30" s="29" t="str">
        <f t="shared" si="2"/>
        <v/>
      </c>
      <c r="H30" s="30"/>
      <c r="I30" s="34">
        <f t="shared" si="3"/>
        <v>0</v>
      </c>
      <c r="J30" s="43"/>
      <c r="K30" s="44"/>
      <c r="L30" s="44"/>
      <c r="M30" s="44"/>
      <c r="N30" s="44"/>
      <c r="O30" s="44"/>
      <c r="P30" s="44"/>
    </row>
    <row r="31" spans="1:16" ht="30" customHeight="1" x14ac:dyDescent="0.3">
      <c r="A31" s="37"/>
      <c r="B31" s="26"/>
      <c r="C31" s="26"/>
      <c r="D31" s="26"/>
      <c r="E31" s="26"/>
      <c r="F31" s="26"/>
      <c r="G31" s="26" t="str">
        <f t="shared" si="2"/>
        <v/>
      </c>
      <c r="H31" s="24"/>
      <c r="I31" s="28">
        <f t="shared" si="3"/>
        <v>0</v>
      </c>
      <c r="J31" s="43"/>
      <c r="K31" s="44"/>
      <c r="L31" s="44"/>
      <c r="M31" s="44"/>
      <c r="N31" s="44"/>
      <c r="O31" s="44"/>
      <c r="P31" s="44"/>
    </row>
    <row r="32" spans="1:16" ht="30" customHeight="1" x14ac:dyDescent="0.3">
      <c r="A32" s="38"/>
      <c r="B32" s="27"/>
      <c r="C32" s="11"/>
      <c r="D32" s="27"/>
      <c r="E32" s="34"/>
      <c r="F32" s="34"/>
      <c r="G32" s="29" t="str">
        <f t="shared" si="2"/>
        <v/>
      </c>
      <c r="H32" s="30"/>
      <c r="I32" s="34">
        <f t="shared" si="3"/>
        <v>0</v>
      </c>
      <c r="J32" s="43"/>
      <c r="K32" s="44"/>
      <c r="L32" s="44"/>
      <c r="M32" s="44"/>
      <c r="N32" s="44"/>
      <c r="O32" s="44"/>
      <c r="P32" s="44"/>
    </row>
    <row r="33" spans="1:16" ht="30" customHeight="1" x14ac:dyDescent="0.3">
      <c r="A33" s="37"/>
      <c r="B33" s="26"/>
      <c r="C33" s="26"/>
      <c r="D33" s="26"/>
      <c r="E33" s="26"/>
      <c r="F33" s="26"/>
      <c r="G33" s="26" t="str">
        <f t="shared" si="2"/>
        <v/>
      </c>
      <c r="H33" s="24"/>
      <c r="I33" s="28">
        <f t="shared" si="3"/>
        <v>0</v>
      </c>
      <c r="J33" s="43"/>
      <c r="K33" s="44"/>
      <c r="L33" s="44"/>
      <c r="M33" s="44"/>
      <c r="N33" s="44"/>
      <c r="O33" s="44"/>
      <c r="P33" s="44"/>
    </row>
    <row r="34" spans="1:16" ht="30" customHeight="1" x14ac:dyDescent="0.3">
      <c r="A34" s="38"/>
      <c r="B34" s="31"/>
      <c r="C34" s="11"/>
      <c r="D34" s="34"/>
      <c r="E34" s="34"/>
      <c r="F34" s="34"/>
      <c r="G34" s="29" t="str">
        <f t="shared" si="2"/>
        <v/>
      </c>
      <c r="H34" s="30"/>
      <c r="I34" s="34">
        <f t="shared" si="3"/>
        <v>0</v>
      </c>
      <c r="J34" s="43"/>
      <c r="K34" s="44"/>
      <c r="L34" s="44"/>
      <c r="M34" s="44"/>
      <c r="N34" s="44"/>
      <c r="O34" s="44"/>
      <c r="P34" s="44"/>
    </row>
    <row r="35" spans="1:16" ht="30" customHeight="1" x14ac:dyDescent="0.3">
      <c r="A35" s="37"/>
      <c r="B35" s="26"/>
      <c r="C35" s="26"/>
      <c r="D35" s="26"/>
      <c r="E35" s="26"/>
      <c r="F35" s="26"/>
      <c r="G35" s="26" t="str">
        <f t="shared" si="2"/>
        <v/>
      </c>
      <c r="H35" s="24"/>
      <c r="I35" s="28">
        <f t="shared" si="3"/>
        <v>0</v>
      </c>
      <c r="J35" s="43"/>
      <c r="K35" s="44"/>
      <c r="L35" s="44"/>
      <c r="M35" s="44"/>
      <c r="N35" s="44"/>
      <c r="O35" s="44"/>
      <c r="P35" s="44"/>
    </row>
    <row r="36" spans="1:16" ht="30" customHeight="1" x14ac:dyDescent="0.3">
      <c r="A36" s="38"/>
      <c r="B36" s="31"/>
      <c r="C36" s="11"/>
      <c r="D36" s="34"/>
      <c r="E36" s="34"/>
      <c r="F36" s="34"/>
      <c r="G36" s="29"/>
      <c r="H36" s="30"/>
      <c r="I36" s="34">
        <f t="shared" si="3"/>
        <v>0</v>
      </c>
      <c r="J36" s="43"/>
      <c r="K36" s="44"/>
      <c r="L36" s="44"/>
      <c r="M36" s="44"/>
      <c r="N36" s="44"/>
      <c r="O36" s="44"/>
      <c r="P36" s="44"/>
    </row>
    <row r="37" spans="1:16" ht="30" customHeight="1" x14ac:dyDescent="0.3">
      <c r="A37" s="37"/>
      <c r="B37" s="26"/>
      <c r="C37" s="26"/>
      <c r="D37" s="26"/>
      <c r="E37" s="26"/>
      <c r="F37" s="26"/>
      <c r="G37" s="26"/>
      <c r="H37" s="24"/>
      <c r="I37" s="28">
        <f t="shared" si="3"/>
        <v>0</v>
      </c>
      <c r="J37" s="43"/>
      <c r="K37" s="44"/>
      <c r="L37" s="44"/>
      <c r="M37" s="44"/>
      <c r="N37" s="44"/>
      <c r="O37" s="44"/>
      <c r="P37" s="44"/>
    </row>
    <row r="38" spans="1:16" ht="30" customHeight="1" x14ac:dyDescent="0.3">
      <c r="A38" s="54" t="s">
        <v>18</v>
      </c>
      <c r="B38" s="50"/>
      <c r="C38" s="12">
        <f>SUM(C7:C37) -  (COUNTIF(B7:B37, "AWO") * 8)</f>
        <v>0</v>
      </c>
      <c r="D38" s="32">
        <f>IFERROR(SUM(D7:D37), "")</f>
        <v>0</v>
      </c>
      <c r="E38" s="32">
        <f>IFERROR(SUM(E7:E37), "")</f>
        <v>0</v>
      </c>
      <c r="F38" s="32">
        <f>IFERROR(SUM(F7:F37), "")</f>
        <v>0</v>
      </c>
      <c r="G38" s="13"/>
      <c r="H38" s="39"/>
      <c r="I38" s="32" t="s">
        <v>19</v>
      </c>
    </row>
    <row r="39" spans="1:16" ht="30" customHeight="1" x14ac:dyDescent="0.3">
      <c r="A39" s="54" t="s">
        <v>20</v>
      </c>
      <c r="B39" s="50"/>
      <c r="C39" s="14">
        <f>COUNTIF(B7:B37, "P") + COUNTIF(B7:B37, "W") + COUNTIF(B7:B37, "H") + COUNTIF(B7:B37, "A") + COUNTIF(B7:B37, "AWO")-C40</f>
        <v>0</v>
      </c>
      <c r="D39" s="14"/>
      <c r="E39" s="14"/>
      <c r="F39" s="14"/>
      <c r="G39" s="35" t="s">
        <v>21</v>
      </c>
      <c r="H39" s="36">
        <f>COUNTIF(B7:B37,"sl")</f>
        <v>0</v>
      </c>
      <c r="I39" s="46">
        <f>COUNTIFS(G7:G37, "SL", G7:G37, "&lt;=3")</f>
        <v>0</v>
      </c>
    </row>
    <row r="40" spans="1:16" ht="37.200000000000003" customHeight="1" x14ac:dyDescent="0.3">
      <c r="A40" s="54" t="s">
        <v>22</v>
      </c>
      <c r="B40" s="50"/>
      <c r="C40" s="14">
        <f>COUNTIF(B7:B37,"A")+COUNTIF(B7:B37,"AWO")*2</f>
        <v>0</v>
      </c>
      <c r="D40" s="14"/>
      <c r="E40" s="14"/>
      <c r="F40" s="14"/>
      <c r="G40" s="33" t="s">
        <v>23</v>
      </c>
      <c r="H40" s="40">
        <v>0</v>
      </c>
      <c r="I40" s="47"/>
    </row>
    <row r="41" spans="1:16" ht="37.200000000000003" customHeight="1" x14ac:dyDescent="0.3">
      <c r="A41" s="54" t="s">
        <v>24</v>
      </c>
      <c r="B41" s="50"/>
      <c r="C41" s="41">
        <f>COUNTIF(B7:B37,"AWO") * 2 * I3 +COUNTIF(B7:B37, "A") * I3</f>
        <v>0</v>
      </c>
      <c r="D41" s="14"/>
      <c r="E41" s="14"/>
      <c r="F41" s="15"/>
      <c r="G41" s="35" t="s">
        <v>25</v>
      </c>
      <c r="H41" s="40">
        <f>SUM(C41+H40)</f>
        <v>0</v>
      </c>
      <c r="I41" s="48"/>
    </row>
    <row r="42" spans="1:16" ht="37.200000000000003" customHeight="1" x14ac:dyDescent="0.3">
      <c r="A42" s="54" t="s">
        <v>26</v>
      </c>
      <c r="B42" s="50"/>
      <c r="C42" s="16">
        <f>IF(F4="January", I2/248*C38, "")</f>
        <v>0</v>
      </c>
      <c r="D42" s="16">
        <f>IFERROR(I2/248*1.25*D38, "")</f>
        <v>0</v>
      </c>
      <c r="E42" s="16">
        <f>IFERROR(I2/248*1.5*E38, "")</f>
        <v>0</v>
      </c>
      <c r="F42" s="16">
        <f>IFERROR(I2/248*2.5*F38, "")</f>
        <v>0</v>
      </c>
      <c r="G42" s="49" t="s">
        <v>27</v>
      </c>
      <c r="H42" s="50"/>
      <c r="I42" s="42">
        <f>IFERROR(SUM(C42:F42), "") - H40</f>
        <v>0</v>
      </c>
    </row>
    <row r="43" spans="1:16" ht="34.200000000000003" customHeight="1" x14ac:dyDescent="0.3">
      <c r="A43" s="17" t="s">
        <v>28</v>
      </c>
      <c r="B43" s="20">
        <f ca="1">TODAY()</f>
        <v>46054</v>
      </c>
      <c r="C43" s="21"/>
      <c r="D43" s="22" t="s">
        <v>29</v>
      </c>
      <c r="E43" s="22"/>
      <c r="F43" s="22"/>
      <c r="G43" s="23" t="s">
        <v>30</v>
      </c>
      <c r="H43" s="18"/>
      <c r="I43" s="18"/>
    </row>
    <row r="44" spans="1:16" x14ac:dyDescent="0.3">
      <c r="A44" s="19"/>
      <c r="B44" s="19"/>
      <c r="C44" s="19"/>
      <c r="D44" s="19"/>
      <c r="E44" s="19"/>
      <c r="F44" s="19"/>
      <c r="G44" s="19"/>
      <c r="H44" s="19"/>
      <c r="I44" s="19"/>
    </row>
    <row r="45" spans="1:16" x14ac:dyDescent="0.3">
      <c r="A45" s="19"/>
      <c r="B45" s="19"/>
      <c r="C45" s="19"/>
      <c r="D45" s="19"/>
      <c r="E45" s="19"/>
      <c r="F45" s="19"/>
      <c r="G45" s="19"/>
      <c r="H45" s="19"/>
      <c r="I45" s="19"/>
    </row>
  </sheetData>
  <mergeCells count="45">
    <mergeCell ref="J7:P7"/>
    <mergeCell ref="A40:B40"/>
    <mergeCell ref="J16:P16"/>
    <mergeCell ref="J32:P32"/>
    <mergeCell ref="A39:B39"/>
    <mergeCell ref="J25:P25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</mergeCells>
  <conditionalFormatting sqref="B34 B36">
    <cfRule type="expression" dxfId="1" priority="1">
      <formula>$B34="SL"</formula>
    </cfRule>
    <cfRule type="expression" dxfId="0" priority="2">
      <formula>$B34="W"</formula>
    </cfRule>
  </conditionalFormatting>
  <dataValidations disablePrompts="1" count="11">
    <dataValidation type="custom" showInputMessage="1" showErrorMessage="1" sqref="D34:D37" xr:uid="{00000000-0002-0000-0000-000000000000}">
      <formula1>IF($C34&lt;&gt;"",TRUE,FALSE)</formula1>
    </dataValidation>
    <dataValidation showInputMessage="1" showErrorMessage="1" prompt="هذه الخلية مخصصة لعرض مجموع اجر عمل الساعات الاضافية_x000a_" sqref="D42" xr:uid="{00000000-0002-0000-0000-000001000000}"/>
    <dataValidation showInputMessage="1" showErrorMessage="1" prompt="أدخل قيمة الأجر في الساعة في الخلايا إلى اليمين" sqref="A39:A42" xr:uid="{00000000-0002-0000-0000-000002000000}"/>
    <dataValidation showInputMessage="1" showErrorMessage="1" prompt="يتم تحديث التاريخ تلقائياً في هذا العمود أسفل هذا العنوان بناءً على تاريخ انتهاء الأسبوع في الخلية C6" sqref="B6" xr:uid="{00000000-0002-0000-0000-000003000000}"/>
    <dataValidation showInputMessage="1" showErrorMessage="1" prompt="أدخل &quot;ساعات العمل العادية&quot; في هذا العمود أسفل هذا العنوان" sqref="C6" xr:uid="{00000000-0002-0000-0000-000004000000}"/>
    <dataValidation showInputMessage="1" showErrorMessage="1" prompt="أدخل ساعات العمل الإضافي في هذا العمود ضمن هذا العنوان" sqref="D6" xr:uid="{00000000-0002-0000-0000-000005000000}"/>
    <dataValidation showInputMessage="1" showErrorMessage="1" prompt="أدخل ساعات الإجازات المرضية في هذا العمود أسفل هذا العنوان" sqref="G6" xr:uid="{00000000-0002-0000-0000-000006000000}"/>
    <dataValidation showInputMessage="1" showErrorMessage="1" prompt="أدخل &quot;ساعات العطلات&quot; في هذا العمود أسفل هذا العنوان" sqref="E4 E6 H2:H3" xr:uid="{00000000-0002-0000-0000-000007000000}"/>
    <dataValidation showInputMessage="1" showErrorMessage="1" prompt="يتم حساب إجمالي ساعات العمل لكل يوم تلقائياً في هذا العمود أسفل هذا العنوان" sqref="H6:I6" xr:uid="{00000000-0002-0000-0000-000008000000}"/>
    <dataValidation showInputMessage="1" showErrorMessage="1" prompt="يتم حساب إجمالي الساعات للفترة بأكملها تلقائياً في الخلايا إلى اليسار" sqref="A38" xr:uid="{00000000-0002-0000-0000-000009000000}"/>
    <dataValidation showInputMessage="1" showErrorMessage="1" prompt="يتم حساب إجمالي الأجر تلقائياً في الخلايا إلى اليسار" sqref="A42" xr:uid="{00000000-0002-0000-0000-00000A000000}"/>
  </dataValidations>
  <printOptions horizontalCentered="1" verticalCentered="1"/>
  <pageMargins left="0.25" right="0.25" top="0.75" bottom="0.75" header="0.3" footer="0.3"/>
  <pageSetup paperSize="9" scale="52" orientation="portrait" horizontalDpi="429496729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</cp:lastModifiedBy>
  <cp:lastPrinted>2025-12-31T10:30:34Z</cp:lastPrinted>
  <dcterms:created xsi:type="dcterms:W3CDTF">2024-12-18T10:07:28Z</dcterms:created>
  <dcterms:modified xsi:type="dcterms:W3CDTF">2026-02-01T07:19:20Z</dcterms:modified>
</cp:coreProperties>
</file>
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محمد عرفان مظفر حسين" sheetId="2" state="visible" r:id="rId2"/>
    <sheet name="وزير خان حبيب الله خان" sheetId="3" state="visible" r:id="rId3"/>
    <sheet name="عبدالودود عجب خان" sheetId="4" state="visible" r:id="rId4"/>
    <sheet name="برينس كومار بانديت بهارات" sheetId="5" state="visible" r:id="rId5"/>
    <sheet name="راما كانت ياداف سانترا ج ياداف" sheetId="6" state="visible" r:id="rId6"/>
    <sheet name="نظر جان محمد ظاهر" sheetId="7" state="visible" r:id="rId7"/>
    <sheet name="ارشد على عزيز اور الرحمن" sheetId="8" state="visible" r:id="rId8"/>
    <sheet name="محمد بلال احمد" sheetId="9" state="visible" r:id="rId9"/>
    <sheet name="محمد ادريس عجب كل" sheetId="10" state="visible" r:id="rId10"/>
    <sheet name=" محمد عويس شير اكبر" sheetId="11" state="visible" r:id="rId11"/>
    <sheet name="ميلكامو مولا بيليو" sheetId="12" state="visible" r:id="rId12"/>
    <sheet name="امارى ميسقى وبيتو" sheetId="13" state="visible" r:id="rId13"/>
    <sheet name="ابابو موجيس نيجيس" sheetId="14" state="visible" r:id="rId14"/>
    <sheet name="باجر انجلال شارهان" sheetId="15" state="visible" r:id="rId15"/>
    <sheet name=" كليم الله شيرال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d\-mmm\-yyyy;@"/>
    <numFmt numFmtId="165" formatCode="_-[$AED]* #,##0_-;\-[$AED]* #,##0_-;_-[$AED]* &quot;-&quot;_-;_-@_-"/>
    <numFmt numFmtId="166" formatCode="_-[$AED]* #,##0.00_-;\-[$AED]* #,##0.00_-;_-[$AED]* &quot;-&quot;??_-;_-@_-"/>
    <numFmt numFmtId="167" formatCode="_-&quot;AED&quot;* #,##0.00_-;\-&quot;AED&quot;* #,##0.00_-;_-&quot;AED&quot;* &quot;-&quot;??_-;_-@_-"/>
    <numFmt numFmtId="168" formatCode="[$-10000]dd/mm/yyyy;@"/>
    <numFmt numFmtId="169" formatCode="_([$AED]\ * #,##0_);_([$AED]\ * \(#,##0\);_([$AED]\ * &quot;-&quot;_);_(@_)"/>
    <numFmt numFmtId="170" formatCode="_(&quot;$&quot;* #,##0.00_);_(&quot;$&quot;* \(#,##0.00\);_(&quot;$&quot;* &quot;-&quot;??_);_(@_)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b val="1"/>
      <color theme="9" tint="-0.249946592608417"/>
      <sz val="26"/>
    </font>
    <font>
      <name val="Tahoma"/>
      <family val="2"/>
      <color theme="1"/>
      <sz val="14"/>
    </font>
    <font>
      <name val="Tahoma"/>
      <family val="2"/>
      <color theme="9" tint="-0.249946592608417"/>
      <sz val="14"/>
    </font>
    <font>
      <name val="Tahoma"/>
      <family val="2"/>
      <b val="1"/>
      <color rgb="FFFFFFFF"/>
      <sz val="14"/>
    </font>
    <font>
      <name val="Tahoma"/>
      <family val="2"/>
      <color rgb="FF000000"/>
      <sz val="14"/>
    </font>
    <font>
      <name val="Tahoma"/>
      <family val="2"/>
      <b val="1"/>
      <color theme="0"/>
      <sz val="14"/>
    </font>
    <font>
      <name val="Tahoma"/>
      <family val="2"/>
      <color theme="1"/>
      <sz val="11"/>
    </font>
    <font>
      <name val="Tahoma"/>
      <family val="2"/>
      <b val="1"/>
      <color theme="1"/>
      <sz val="14"/>
    </font>
    <font>
      <name val="Arial"/>
      <family val="2"/>
      <b val="1"/>
      <color theme="1"/>
      <sz val="14"/>
    </font>
    <font>
      <name val="Tahoma"/>
      <family val="2"/>
      <b val="1"/>
      <sz val="14"/>
    </font>
    <font>
      <name val="Segoe UI"/>
      <family val="2"/>
      <b val="1"/>
      <sz val="14"/>
    </font>
    <font>
      <name val="Tahoma"/>
      <family val="2"/>
      <b val="1"/>
      <color rgb="FF000000"/>
      <sz val="14"/>
    </font>
    <font>
      <name val="Tahoma"/>
      <family val="2"/>
      <b val="1"/>
      <color rgb="FFFF0000"/>
      <sz val="14"/>
    </font>
    <font>
      <name val="Tahoma"/>
      <family val="2"/>
      <b val="1"/>
      <color rgb="FF00B050"/>
      <sz val="14"/>
    </font>
    <font>
      <name val="Tahoma"/>
      <family val="2"/>
      <color theme="1"/>
      <sz val="10"/>
    </font>
  </fonts>
  <fills count="14">
    <fill>
      <patternFill/>
    </fill>
    <fill>
      <patternFill patternType="gray125"/>
    </fill>
    <fill>
      <patternFill patternType="solid">
        <fgColor theme="9" tint="0.5999938962981048"/>
        <bgColor indexed="65"/>
      </patternFill>
    </fill>
    <fill>
      <patternFill patternType="solid">
        <fgColor rgb="FF445B5E"/>
        <bgColor rgb="FF95AEB1"/>
      </patternFill>
    </fill>
    <fill>
      <patternFill patternType="solid">
        <fgColor rgb="FFD5DEDF"/>
        <bgColor rgb="FF000000"/>
      </patternFill>
    </fill>
    <fill>
      <patternFill patternType="solid">
        <fgColor theme="9" tint="-0.499984740745262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/>
        <bgColor theme="9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BECDC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00FFFF00"/>
        <bgColor rgb="00FFFF00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1" fillId="0" borderId="0"/>
    <xf numFmtId="170" fontId="1" fillId="0" borderId="0"/>
    <xf numFmtId="0" fontId="2" fillId="0" borderId="0"/>
    <xf numFmtId="0" fontId="3" fillId="0" borderId="1"/>
    <xf numFmtId="0" fontId="4" fillId="0" borderId="2"/>
    <xf numFmtId="0" fontId="1" fillId="2" borderId="0"/>
    <xf numFmtId="14" fontId="11" fillId="0" borderId="0" applyAlignment="1">
      <alignment vertical="center" wrapText="1"/>
    </xf>
    <xf numFmtId="2" fontId="11" fillId="0" borderId="0" applyAlignment="1">
      <alignment horizontal="center" vertical="center"/>
    </xf>
    <xf numFmtId="0" fontId="13" fillId="0" borderId="5" applyAlignment="1">
      <alignment horizontal="center"/>
    </xf>
    <xf numFmtId="169" fontId="18" fillId="11" borderId="5" applyAlignment="1">
      <alignment horizontal="center" vertical="center" readingOrder="2"/>
    </xf>
  </cellStyleXfs>
  <cellXfs count="95">
    <xf numFmtId="0" fontId="0" fillId="0" borderId="0" pivotButton="0" quotePrefix="0" xfId="0"/>
    <xf numFmtId="0" fontId="8" fillId="3" borderId="3" applyAlignment="1" pivotButton="0" quotePrefix="0" xfId="0">
      <alignment horizontal="center" vertical="center" wrapText="1" readingOrder="2"/>
    </xf>
    <xf numFmtId="164" fontId="9" fillId="4" borderId="0" applyAlignment="1" pivotButton="0" quotePrefix="0" xfId="0">
      <alignment horizontal="center" vertical="center" wrapText="1" readingOrder="1"/>
    </xf>
    <xf numFmtId="0" fontId="10" fillId="5" borderId="4" applyAlignment="1" pivotButton="0" quotePrefix="0" xfId="0">
      <alignment horizontal="center" vertical="center" wrapText="1" readingOrder="2"/>
    </xf>
    <xf numFmtId="165" fontId="6" fillId="6" borderId="4" applyAlignment="1" pivotButton="0" quotePrefix="0" xfId="1">
      <alignment horizontal="center" vertical="center"/>
    </xf>
    <xf numFmtId="166" fontId="6" fillId="6" borderId="4" applyAlignment="1" pivotButton="0" quotePrefix="0" xfId="1">
      <alignment horizontal="center" vertical="center"/>
    </xf>
    <xf numFmtId="167" fontId="6" fillId="6" borderId="4" applyAlignment="1" pivotButton="0" quotePrefix="0" xfId="1">
      <alignment horizontal="center" vertical="center"/>
    </xf>
    <xf numFmtId="0" fontId="10" fillId="7" borderId="5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wrapText="1" readingOrder="2"/>
    </xf>
    <xf numFmtId="0" fontId="12" fillId="0" borderId="6" applyAlignment="1" pivotButton="0" quotePrefix="0" xfId="0">
      <alignment horizontal="center" vertical="center" wrapText="1"/>
    </xf>
    <xf numFmtId="1" fontId="15" fillId="0" borderId="5" applyAlignment="1" pivotButton="0" quotePrefix="0" xfId="7">
      <alignment horizontal="center" vertical="center"/>
    </xf>
    <xf numFmtId="1" fontId="12" fillId="8" borderId="5" applyAlignment="1" pivotButton="0" quotePrefix="0" xfId="7">
      <alignment horizontal="center" vertical="center" readingOrder="2"/>
    </xf>
    <xf numFmtId="0" fontId="16" fillId="9" borderId="5" applyAlignment="1" pivotButton="0" quotePrefix="0" xfId="0">
      <alignment horizontal="center" vertical="center" readingOrder="2"/>
    </xf>
    <xf numFmtId="0" fontId="12" fillId="0" borderId="5" applyAlignment="1" pivotButton="0" quotePrefix="0" xfId="1">
      <alignment horizontal="center" vertical="center" readingOrder="2"/>
    </xf>
    <xf numFmtId="0" fontId="12" fillId="10" borderId="5" applyAlignment="1" pivotButton="0" quotePrefix="0" xfId="7">
      <alignment horizontal="center" vertical="center" readingOrder="2"/>
    </xf>
    <xf numFmtId="166" fontId="12" fillId="8" borderId="5" applyAlignment="1" pivotButton="0" quotePrefix="0" xfId="1">
      <alignment horizontal="center" vertical="center" readingOrder="2"/>
    </xf>
    <xf numFmtId="0" fontId="12" fillId="10" borderId="10" applyAlignment="1" pivotButton="0" quotePrefix="0" xfId="4">
      <alignment vertical="center" readingOrder="2"/>
    </xf>
    <xf numFmtId="0" fontId="14" fillId="10" borderId="13" applyAlignment="1" pivotButton="0" quotePrefix="0" xfId="3">
      <alignment wrapText="1" readingOrder="2"/>
    </xf>
    <xf numFmtId="0" fontId="0" fillId="10" borderId="0" pivotButton="0" quotePrefix="0" xfId="0"/>
    <xf numFmtId="14" fontId="12" fillId="10" borderId="0" applyAlignment="1" pivotButton="0" quotePrefix="0" xfId="4">
      <alignment horizontal="right" vertical="center" readingOrder="2"/>
    </xf>
    <xf numFmtId="0" fontId="12" fillId="10" borderId="0" applyAlignment="1" pivotButton="0" quotePrefix="0" xfId="4">
      <alignment horizontal="right" vertical="center" readingOrder="2"/>
    </xf>
    <xf numFmtId="0" fontId="12" fillId="10" borderId="13" applyAlignment="1" pivotButton="0" quotePrefix="0" xfId="0">
      <alignment vertical="center" wrapText="1" readingOrder="2"/>
    </xf>
    <xf numFmtId="0" fontId="14" fillId="10" borderId="13" applyAlignment="1" pivotButton="0" quotePrefix="0" xfId="3">
      <alignment vertical="center" wrapText="1" readingOrder="2"/>
    </xf>
    <xf numFmtId="1" fontId="19" fillId="11" borderId="5" applyAlignment="1" pivotButton="0" quotePrefix="0" xfId="7">
      <alignment horizontal="center" vertical="center" wrapText="1" readingOrder="2"/>
    </xf>
    <xf numFmtId="0" fontId="6" fillId="2" borderId="0" applyAlignment="1" pivotButton="0" quotePrefix="0" xfId="5">
      <alignment horizontal="center" vertical="center" wrapText="1"/>
    </xf>
    <xf numFmtId="0" fontId="13" fillId="11" borderId="5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2" fillId="11" borderId="5" applyAlignment="1" pivotButton="0" quotePrefix="0" xfId="0">
      <alignment horizontal="center" vertical="center"/>
    </xf>
    <xf numFmtId="1" fontId="12" fillId="0" borderId="5" applyAlignment="1" pivotButton="0" quotePrefix="0" xfId="7">
      <alignment horizontal="center" vertical="center" readingOrder="2"/>
    </xf>
    <xf numFmtId="1" fontId="19" fillId="0" borderId="5" applyAlignment="1" pivotButton="0" quotePrefix="0" xfId="7">
      <alignment horizontal="center" vertical="center" wrapText="1" readingOrder="2"/>
    </xf>
    <xf numFmtId="0" fontId="12" fillId="0" borderId="5" applyAlignment="1" pivotButton="0" quotePrefix="0" xfId="6">
      <alignment horizontal="center" vertical="center" readingOrder="2"/>
    </xf>
    <xf numFmtId="0" fontId="12" fillId="8" borderId="5" applyAlignment="1" pivotButton="0" quotePrefix="0" xfId="7">
      <alignment horizontal="center" vertical="center" readingOrder="2"/>
    </xf>
    <xf numFmtId="0" fontId="17" fillId="12" borderId="14" applyAlignment="1" pivotButton="0" quotePrefix="0" xfId="4">
      <alignment horizontal="center" vertical="center" wrapText="1" readingOrder="2"/>
    </xf>
    <xf numFmtId="1" fontId="12" fillId="0" borderId="5" applyAlignment="1" pivotButton="0" quotePrefix="0" xfId="7">
      <alignment horizontal="center" vertical="center"/>
    </xf>
    <xf numFmtId="0" fontId="12" fillId="12" borderId="14" applyAlignment="1" pivotButton="0" quotePrefix="0" xfId="4">
      <alignment horizontal="center" vertical="center" readingOrder="2"/>
    </xf>
    <xf numFmtId="0" fontId="16" fillId="0" borderId="5" applyAlignment="1" pivotButton="0" quotePrefix="0" xfId="0">
      <alignment horizontal="center" vertical="center" readingOrder="1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0" fillId="0" borderId="16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0" applyAlignment="1" pivotButton="0" quotePrefix="0" xfId="2">
      <alignment horizontal="center" vertical="center" readingOrder="2"/>
    </xf>
    <xf numFmtId="0" fontId="12" fillId="8" borderId="5" applyAlignment="1" pivotButton="0" quotePrefix="0" xfId="1">
      <alignment horizontal="center" vertical="center" readingOrder="2"/>
    </xf>
    <xf numFmtId="0" fontId="0" fillId="0" borderId="8" pivotButton="0" quotePrefix="0" xfId="0"/>
    <xf numFmtId="0" fontId="0" fillId="0" borderId="9" pivotButton="0" quotePrefix="0" xfId="0"/>
    <xf numFmtId="167" fontId="12" fillId="0" borderId="5" applyAlignment="1" pivotButton="0" quotePrefix="0" xfId="1">
      <alignment horizontal="center" vertical="center" readingOrder="2"/>
    </xf>
    <xf numFmtId="0" fontId="0" fillId="0" borderId="7" pivotButton="0" quotePrefix="0" xfId="0"/>
    <xf numFmtId="0" fontId="2" fillId="10" borderId="0" applyAlignment="1" pivotButton="0" quotePrefix="0" xfId="2">
      <alignment horizontal="center" vertical="center" readingOrder="2"/>
    </xf>
    <xf numFmtId="0" fontId="6" fillId="10" borderId="11" applyAlignment="1" pivotButton="0" quotePrefix="0" xfId="0">
      <alignment horizontal="center" vertical="center" wrapText="1" readingOrder="2"/>
    </xf>
    <xf numFmtId="0" fontId="0" fillId="0" borderId="11" pivotButton="0" quotePrefix="0" xfId="0"/>
    <xf numFmtId="0" fontId="12" fillId="12" borderId="5" applyAlignment="1" pivotButton="0" quotePrefix="0" xfId="4">
      <alignment horizontal="center" vertical="center" readingOrder="2"/>
    </xf>
    <xf numFmtId="0" fontId="6" fillId="10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10" borderId="0" applyAlignment="1" pivotButton="0" quotePrefix="0" xfId="2">
      <alignment horizontal="center" vertical="center" readingOrder="2"/>
    </xf>
    <xf numFmtId="0" fontId="12" fillId="2" borderId="15" applyAlignment="1" pivotButton="0" quotePrefix="0" xfId="5">
      <alignment horizontal="center" vertical="center" wrapText="1"/>
    </xf>
    <xf numFmtId="0" fontId="0" fillId="10" borderId="0" applyAlignment="1" pivotButton="0" quotePrefix="0" xfId="0">
      <alignment horizontal="center" vertical="center" wrapText="1" readingOrder="2"/>
    </xf>
    <xf numFmtId="167" fontId="6" fillId="6" borderId="4" applyAlignment="1" pivotButton="0" quotePrefix="0" xfId="1">
      <alignment horizontal="center" vertical="center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7" fontId="12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13" fillId="11" borderId="5" applyAlignment="1" applyProtection="1" pivotButton="0" quotePrefix="0" xfId="0">
      <alignment horizontal="center"/>
      <protection locked="0" hidden="0"/>
    </xf>
    <xf numFmtId="1" fontId="19" fillId="11" borderId="5" applyAlignment="1" applyProtection="1" pivotButton="0" quotePrefix="0" xfId="7">
      <alignment horizontal="center" vertical="center" wrapText="1" readingOrder="2"/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0" fontId="13" fillId="0" borderId="5" applyAlignment="1" applyProtection="1" pivotButton="0" quotePrefix="0" xfId="0">
      <alignment horizontal="center"/>
      <protection locked="0" hidden="0"/>
    </xf>
    <xf numFmtId="1" fontId="15" fillId="0" borderId="5" applyAlignment="1" applyProtection="1" pivotButton="0" quotePrefix="0" xfId="7">
      <alignment horizontal="center" vertical="center"/>
      <protection locked="0" hidden="0"/>
    </xf>
    <xf numFmtId="1" fontId="12" fillId="0" borderId="5" applyAlignment="1" applyProtection="1" pivotButton="0" quotePrefix="0" xfId="7">
      <alignment horizontal="center" vertical="center" readingOrder="2"/>
      <protection locked="0" hidden="0"/>
    </xf>
    <xf numFmtId="1" fontId="12" fillId="0" borderId="5" applyAlignment="1" applyProtection="1" pivotButton="0" quotePrefix="0" xfId="7">
      <alignment horizontal="center" vertical="center"/>
      <protection locked="0" hidden="0"/>
    </xf>
    <xf numFmtId="1" fontId="19" fillId="0" borderId="5" applyAlignment="1" applyProtection="1" pivotButton="0" quotePrefix="0" xfId="7">
      <alignment horizontal="center" vertical="center" wrapText="1" readingOrder="2"/>
      <protection locked="0" hidden="0"/>
    </xf>
    <xf numFmtId="0" fontId="13" fillId="13" borderId="5" applyAlignment="1" applyProtection="1" pivotButton="0" quotePrefix="0" xfId="0">
      <alignment horizontal="center"/>
      <protection locked="0" hidden="0"/>
    </xf>
    <xf numFmtId="0" fontId="12" fillId="0" borderId="5" applyAlignment="1" applyProtection="1" pivotButton="0" quotePrefix="0" xfId="6">
      <alignment horizontal="center" vertical="center" readingOrder="2"/>
      <protection locked="0" hidden="0"/>
    </xf>
    <xf numFmtId="0" fontId="0" fillId="0" borderId="16" applyAlignment="1" applyProtection="1" pivotButton="0" quotePrefix="0" xfId="0">
      <alignment horizontal="center" vertical="center" wrapText="1"/>
      <protection locked="0" hidden="0"/>
    </xf>
    <xf numFmtId="0" fontId="0" fillId="0" borderId="7" applyProtection="1" pivotButton="0" quotePrefix="0" xfId="0">
      <protection locked="0" hidden="0"/>
    </xf>
    <xf numFmtId="1" fontId="12" fillId="8" borderId="5" applyAlignment="1" applyProtection="1" pivotButton="0" quotePrefix="0" xfId="7">
      <alignment horizontal="center" vertical="center" readingOrder="2"/>
      <protection locked="0" hidden="0"/>
    </xf>
    <xf numFmtId="0" fontId="12" fillId="8" borderId="5" applyAlignment="1" applyProtection="1" pivotButton="0" quotePrefix="0" xfId="7">
      <alignment horizontal="center" vertical="center" readingOrder="2"/>
      <protection locked="0" hidden="0"/>
    </xf>
    <xf numFmtId="169" fontId="12" fillId="8" borderId="5" applyAlignment="1" applyProtection="1" pivotButton="0" quotePrefix="0" xfId="7">
      <alignment horizontal="center" vertical="center" readingOrder="2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5" applyAlignment="1" applyProtection="1" pivotButton="0" quotePrefix="0" xfId="1">
      <alignment horizontal="center" vertical="center" readingOrder="2"/>
      <protection locked="0" hidden="0"/>
    </xf>
    <xf numFmtId="0" fontId="16" fillId="0" borderId="5" applyAlignment="1" applyProtection="1" pivotButton="0" quotePrefix="0" xfId="0">
      <alignment horizontal="center" vertical="center" readingOrder="1"/>
      <protection locked="0" hidden="0"/>
    </xf>
    <xf numFmtId="169" fontId="12" fillId="0" borderId="5" applyAlignment="1" applyProtection="1" pivotButton="0" quotePrefix="0" xfId="1">
      <alignment horizontal="center" vertical="center" readingOrder="2"/>
      <protection locked="0" hidden="0"/>
    </xf>
    <xf numFmtId="169" fontId="17" fillId="0" borderId="5" applyAlignment="1" applyProtection="1" pivotButton="0" quotePrefix="0" xfId="1">
      <alignment horizontal="center" vertical="center" readingOrder="2"/>
      <protection locked="0" hidden="0"/>
    </xf>
    <xf numFmtId="0" fontId="12" fillId="10" borderId="5" applyAlignment="1" applyProtection="1" pivotButton="0" quotePrefix="0" xfId="7">
      <alignment horizontal="center" vertical="center" readingOrder="2"/>
      <protection locked="0" hidden="0"/>
    </xf>
    <xf numFmtId="166" fontId="12" fillId="8" borderId="5" applyAlignment="1" applyProtection="1" pivotButton="0" quotePrefix="0" xfId="1">
      <alignment horizontal="center" vertical="center" readingOrder="2"/>
      <protection locked="0" hidden="0"/>
    </xf>
    <xf numFmtId="14" fontId="12" fillId="10" borderId="0" applyAlignment="1" applyProtection="1" pivotButton="0" quotePrefix="0" xfId="4">
      <alignment horizontal="right" vertical="center" readingOrder="2"/>
      <protection locked="0" hidden="0"/>
    </xf>
    <xf numFmtId="0" fontId="12" fillId="10" borderId="0" applyAlignment="1" applyProtection="1" pivotButton="0" quotePrefix="0" xfId="4">
      <alignment horizontal="right" vertical="center" readingOrder="2"/>
      <protection locked="0" hidden="0"/>
    </xf>
    <xf numFmtId="0" fontId="12" fillId="10" borderId="13" applyAlignment="1" applyProtection="1" pivotButton="0" quotePrefix="0" xfId="0">
      <alignment vertical="center" wrapText="1" readingOrder="2"/>
      <protection locked="0" hidden="0"/>
    </xf>
    <xf numFmtId="0" fontId="14" fillId="10" borderId="13" applyAlignment="1" applyProtection="1" pivotButton="0" quotePrefix="0" xfId="3">
      <alignment wrapText="1" readingOrder="2"/>
      <protection locked="0" hidden="0"/>
    </xf>
    <xf numFmtId="0" fontId="0" fillId="10" borderId="0" applyProtection="1" pivotButton="0" quotePrefix="0" xfId="0">
      <protection locked="0" hidden="0"/>
    </xf>
  </cellXfs>
  <cellStyles count="10">
    <cellStyle name="Normal" xfId="0" builtinId="0"/>
    <cellStyle name="Currency" xfId="1" builtinId="4"/>
    <cellStyle name="Title" xfId="2" builtinId="15"/>
    <cellStyle name="Heading 2" xfId="3" builtinId="17"/>
    <cellStyle name="Total" xfId="4" builtinId="25"/>
    <cellStyle name="40% - Accent6" xfId="5" builtinId="51"/>
    <cellStyle name="التاريخ" xfId="6"/>
    <cellStyle name="الساعات" xfId="7"/>
    <cellStyle name="Style 1" xfId="8"/>
    <cellStyle name="Style 2" xfId="9"/>
  </cellStyles>
  <dxfs count="1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family val="2"/>
        <b val="1"/>
        <strike val="0"/>
        <outline val="0"/>
        <shadow val="0"/>
        <color auto="1"/>
        <sz val="10"/>
        <vertAlign val="baseline"/>
      </font>
      <numFmt numFmtId="1" formatCode="0"/>
      <fill>
        <patternFill>
          <fgColor indexed="64"/>
          <bgColor indexed="65"/>
        </patternFill>
      </fill>
      <alignment horizontal="center" vertical="center" wrapText="1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auto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sz val="14"/>
        <vertAlign val="baseline"/>
      </font>
      <numFmt numFmtId="0" formatCode="General"/>
      <alignment horizontal="center" vertical="center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بطاقة_الوقت4517" displayName="بطاقة_الوقت4517" ref="B6:I37" headerRowCount="1" headerRowDxfId="12" dataDxfId="11" totalsRowDxfId="10">
  <tableColumns count="8">
    <tableColumn id="2" name="الحضور" dataDxfId="9" dataCellStyle="التاريخ"/>
    <tableColumn id="3" name="ساعات العمل " totalsRowFunction="custom" dataDxfId="8" dataCellStyle="الساعات">
      <calculatedColumnFormula>IF(OR(B7="W", B7="SL", B7="P", B7="H"), 8, "")</calculatedColumnFormula>
      <totalsRowFormula>SUM(C7:C37)</totalsRowFormula>
    </tableColumn>
    <tableColumn id="4" name="ساعات العمل الإضافية " totalsRowFunction="custom" dataDxfId="7" dataCellStyle="الساعات">
      <totalsRowFormula>SUM(D7:D37)</totalsRowFormula>
    </tableColumn>
    <tableColumn id="6" name="ساعات العمل خلال الإجازة" totalsRowFunction="custom" dataDxfId="6" dataCellStyle="الساعات">
      <totalsRowFormula>SUM(E7:E37)</totalsRowFormula>
    </tableColumn>
    <tableColumn id="8" name="ساعات العمل بالمناسبات الرسمية " dataDxfId="5" dataCellStyle="الساعات"/>
    <tableColumn id="5" name="إجازة مرضية" totalsRowFunction="custom" dataDxfId="4" dataCellStyle="الساعات">
      <calculatedColumnFormula>IF(B7="SL","SL","")</calculatedColumnFormula>
      <totalsRowFormula>SUM(G7:G37)</totalsRowFormula>
    </tableColumn>
    <tableColumn id="7" name="المشروع" totalsRowFunction="sum" dataDxfId="3" dataCellStyle="الساعات"/>
    <tableColumn id="9" name="الاجمالي" dataDxfId="2" dataCellStyle="الساعات">
      <calculatedColumnFormula>IFERROR(IF(SUM(C7:G7)&gt;24,"إجمالي &gt; 24 ساعة.",SUM(C7:G7)), "")</calculatedColumnFormula>
    </tableColumn>
  </tableColumns>
  <tableStyleInfo name="TableStyleLight14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bd">
      <a:dk1>
        <a:sysClr val="windowText" lastClr="000000"/>
      </a:dk1>
      <a:lt1>
        <a:sysClr val="window" lastClr="FFFFFF"/>
      </a:lt1>
      <a:dk2>
        <a:srgbClr val="4A606E"/>
      </a:dk2>
      <a:lt2>
        <a:srgbClr val="D1FF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tabSelected="1" topLeftCell="A3" workbookViewId="0">
      <selection activeCell="B43" sqref="B43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n"/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Abdullah Ghazi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/>
      <c r="B7" s="26" t="n"/>
      <c r="C7" s="26" t="n"/>
      <c r="D7" s="26" t="n"/>
      <c r="E7" s="26" t="n"/>
      <c r="F7" s="26" t="n"/>
      <c r="G7" s="26" t="n"/>
      <c r="H7" s="24" t="n"/>
      <c r="I7" s="28">
        <f>IFERROR(IF(SUM(C7:G7)&gt;24,"إجمالي &gt; 24 ساعة.",SUM(C7:G7)), "")</f>
        <v/>
      </c>
      <c r="J7" s="43" t="n"/>
    </row>
    <row r="8" ht="30" customHeight="1" s="44">
      <c r="A8" s="62" t="n"/>
      <c r="B8" s="27" t="n"/>
      <c r="C8" s="11" t="n"/>
      <c r="D8" s="27" t="n"/>
      <c r="E8" s="29" t="n"/>
      <c r="F8" s="34" t="n"/>
      <c r="G8" s="29">
        <f>IF(B8="SL","SL","")</f>
        <v/>
      </c>
      <c r="H8" s="30" t="n"/>
      <c r="I8" s="34">
        <f>IFERROR(IF(SUM(C8:G8)&gt;24,"إجمالي &gt; 24 ساعة.",SUM(C8:G8)), "")</f>
        <v/>
      </c>
      <c r="J8" s="43" t="n"/>
    </row>
    <row r="9" ht="30" customHeight="1" s="44">
      <c r="A9" s="61" t="n"/>
      <c r="B9" s="26" t="n"/>
      <c r="C9" s="26" t="n"/>
      <c r="D9" s="26" t="n"/>
      <c r="E9" s="26" t="n"/>
      <c r="F9" s="26" t="n"/>
      <c r="G9" s="26">
        <f>IF(B9="SL","SL","")</f>
        <v/>
      </c>
      <c r="H9" s="24" t="n"/>
      <c r="I9" s="28">
        <f>IFERROR(IF(SUM(C9:G9)&gt;24,"إجمالي &gt; 24 ساعة.",SUM(C9:G9)), "")</f>
        <v/>
      </c>
      <c r="J9" s="43" t="n"/>
    </row>
    <row r="10" ht="30" customHeight="1" s="44">
      <c r="A10" s="62" t="n"/>
      <c r="B10" s="27" t="n"/>
      <c r="C10" s="11" t="n"/>
      <c r="D10" s="27" t="n"/>
      <c r="E10" s="29" t="n"/>
      <c r="F10" s="34" t="n"/>
      <c r="G10" s="29">
        <f>IF(B10="SL","SL","")</f>
        <v/>
      </c>
      <c r="H10" s="30" t="n"/>
      <c r="I10" s="34">
        <f>IFERROR(IF(SUM(C10:G10)&gt;24,"إجمالي &gt; 24 ساعة.",SUM(C10:G10)), "")</f>
        <v/>
      </c>
      <c r="J10" s="43" t="n"/>
    </row>
    <row r="11" ht="30" customHeight="1" s="44">
      <c r="A11" s="61" t="n"/>
      <c r="B11" s="26" t="n"/>
      <c r="C11" s="26" t="n"/>
      <c r="D11" s="26" t="n"/>
      <c r="E11" s="26" t="n"/>
      <c r="F11" s="26" t="n"/>
      <c r="G11" s="26">
        <f>IF(B11="SL","SL","")</f>
        <v/>
      </c>
      <c r="H11" s="24" t="n"/>
      <c r="I11" s="28">
        <f>IFERROR(IF(SUM(C11:G11)&gt;24,"إجمالي &gt; 24 ساعة.",SUM(C11:G11)), "")</f>
        <v/>
      </c>
      <c r="J11" s="43" t="n"/>
    </row>
    <row r="12" ht="30" customHeight="1" s="44">
      <c r="A12" s="62" t="n"/>
      <c r="B12" s="27" t="n"/>
      <c r="C12" s="11" t="n"/>
      <c r="D12" s="27" t="n"/>
      <c r="E12" s="29" t="n"/>
      <c r="F12" s="34" t="n"/>
      <c r="G12" s="29">
        <f>IF(B12="SL","SL","")</f>
        <v/>
      </c>
      <c r="H12" s="30" t="n"/>
      <c r="I12" s="34">
        <f>IFERROR(IF(SUM(C12:G12)&gt;24,"إجمالي &gt; 24 ساعة.",SUM(C12:G12)), "")</f>
        <v/>
      </c>
      <c r="J12" s="43" t="n"/>
    </row>
    <row r="13" ht="30" customHeight="1" s="44">
      <c r="A13" s="62" t="n"/>
      <c r="B13" s="26" t="n"/>
      <c r="C13" s="26" t="n"/>
      <c r="D13" s="26" t="n"/>
      <c r="E13" s="26" t="n"/>
      <c r="F13" s="26" t="n"/>
      <c r="G13" s="26">
        <f>IF(B13="SL","SL","")</f>
        <v/>
      </c>
      <c r="H13" s="24" t="n"/>
      <c r="I13" s="28">
        <f>IFERROR(IF(SUM(C13:G13)&gt;24,"إجمالي &gt; 24 ساعة.",SUM(C13:G13)), "")</f>
        <v/>
      </c>
      <c r="J13" s="43" t="n"/>
    </row>
    <row r="14" ht="30" customHeight="1" s="44">
      <c r="A14" s="62" t="n"/>
      <c r="B14" s="27" t="n"/>
      <c r="C14" s="11" t="n"/>
      <c r="D14" s="27" t="n"/>
      <c r="E14" s="34" t="n"/>
      <c r="F14" s="34" t="n"/>
      <c r="G14" s="29">
        <f>IF(B14="SL","SL","")</f>
        <v/>
      </c>
      <c r="H14" s="30" t="n"/>
      <c r="I14" s="34">
        <f>IFERROR(IF(SUM(C14:G14)&gt;24,"إجمالي &gt; 24 ساعة.",SUM(C14:G14)), "")</f>
        <v/>
      </c>
      <c r="J14" s="43" t="n"/>
    </row>
    <row r="15" ht="30" customHeight="1" s="44">
      <c r="A15" s="61" t="n"/>
      <c r="B15" s="26" t="n"/>
      <c r="C15" s="26" t="n"/>
      <c r="D15" s="26" t="n"/>
      <c r="E15" s="26" t="n"/>
      <c r="F15" s="26" t="n"/>
      <c r="G15" s="26">
        <f>IF(B15="SL","SL","")</f>
        <v/>
      </c>
      <c r="H15" s="24" t="n"/>
      <c r="I15" s="28">
        <f>IFERROR(IF(SUM(C15:G15)&gt;24,"إجمالي &gt; 24 ساعة.",SUM(C15:G15)), "")</f>
        <v/>
      </c>
      <c r="J15" s="43" t="n"/>
    </row>
    <row r="16" ht="30" customHeight="1" s="44">
      <c r="A16" s="62" t="n"/>
      <c r="B16" s="27" t="n"/>
      <c r="C16" s="11" t="n"/>
      <c r="D16" s="27" t="n"/>
      <c r="E16" s="34" t="n"/>
      <c r="F16" s="34" t="n"/>
      <c r="G16" s="29">
        <f>IF(B16="SL","SL","")</f>
        <v/>
      </c>
      <c r="H16" s="30" t="n"/>
      <c r="I16" s="34">
        <f>IFERROR(IF(SUM(C16:G16)&gt;24,"إجمالي &gt; 24 ساعة.",SUM(C16:G16)), "")</f>
        <v/>
      </c>
      <c r="J16" s="43" t="n"/>
    </row>
    <row r="17" ht="30" customHeight="1" s="44">
      <c r="A17" s="61" t="n"/>
      <c r="B17" s="26" t="n"/>
      <c r="C17" s="26" t="n"/>
      <c r="D17" s="26" t="n"/>
      <c r="E17" s="26" t="n"/>
      <c r="F17" s="26" t="n"/>
      <c r="G17" s="26">
        <f>IF(B17="SL","SL","")</f>
        <v/>
      </c>
      <c r="H17" s="24" t="n"/>
      <c r="I17" s="28">
        <f>IFERROR(IF(SUM(C17:G17)&gt;24,"إجمالي &gt; 24 ساعة.",SUM(C17:G17)), "")</f>
        <v/>
      </c>
      <c r="J17" s="43" t="n"/>
    </row>
    <row r="18" ht="30" customHeight="1" s="44">
      <c r="A18" s="62" t="n"/>
      <c r="B18" s="27" t="n"/>
      <c r="C18" s="11" t="n"/>
      <c r="D18" s="27" t="n"/>
      <c r="E18" s="34" t="n"/>
      <c r="F18" s="34" t="n"/>
      <c r="G18" s="29">
        <f>IF(B18="SL","SL","")</f>
        <v/>
      </c>
      <c r="H18" s="30" t="n"/>
      <c r="I18" s="34">
        <f>IFERROR(IF(SUM(C18:G18)&gt;24,"إجمالي &gt; 24 ساعة.",SUM(C18:G18)), "")</f>
        <v/>
      </c>
      <c r="J18" s="43" t="n"/>
    </row>
    <row r="19" ht="30" customHeight="1" s="44">
      <c r="A19" s="61" t="n"/>
      <c r="B19" s="26" t="n"/>
      <c r="C19" s="26" t="n"/>
      <c r="D19" s="26" t="n"/>
      <c r="E19" s="26" t="n"/>
      <c r="F19" s="26" t="n"/>
      <c r="G19" s="26">
        <f>IF(B19="SL","SL","")</f>
        <v/>
      </c>
      <c r="H19" s="24" t="n"/>
      <c r="I19" s="28">
        <f>IFERROR(IF(SUM(C19:G19)&gt;24,"إجمالي &gt; 24 ساعة.",SUM(C19:G19)), "")</f>
        <v/>
      </c>
      <c r="J19" s="43" t="n"/>
    </row>
    <row r="20" ht="30" customHeight="1" s="44">
      <c r="A20" s="62" t="n"/>
      <c r="B20" s="27" t="n"/>
      <c r="C20" s="11" t="n"/>
      <c r="D20" s="27" t="n"/>
      <c r="E20" s="34" t="n"/>
      <c r="F20" s="34" t="n"/>
      <c r="G20" s="29">
        <f>IF(B20="SL","SL","")</f>
        <v/>
      </c>
      <c r="H20" s="30" t="n"/>
      <c r="I20" s="34">
        <f>IFERROR(IF(SUM(C20:G20)&gt;24,"إجمالي &gt; 24 ساعة.",SUM(C20:G20)), "")</f>
        <v/>
      </c>
      <c r="J20" s="43" t="n"/>
    </row>
    <row r="21" ht="30" customHeight="1" s="44">
      <c r="A21" s="61" t="n"/>
      <c r="B21" s="26" t="n"/>
      <c r="C21" s="26" t="n"/>
      <c r="D21" s="26" t="n"/>
      <c r="E21" s="26" t="n"/>
      <c r="F21" s="26" t="n"/>
      <c r="G21" s="26">
        <f>IF(B21="SL","SL","")</f>
        <v/>
      </c>
      <c r="H21" s="24" t="n"/>
      <c r="I21" s="28">
        <f>IFERROR(IF(SUM(C21:G21)&gt;24,"إجمالي &gt; 24 ساعة.",SUM(C21:G21)), "")</f>
        <v/>
      </c>
      <c r="J21" s="43" t="n"/>
    </row>
    <row r="22" ht="30" customHeight="1" s="44">
      <c r="A22" s="62" t="n"/>
      <c r="B22" s="27" t="n"/>
      <c r="C22" s="11" t="n"/>
      <c r="D22" s="27" t="n"/>
      <c r="E22" s="34" t="n"/>
      <c r="F22" s="34" t="n"/>
      <c r="G22" s="29">
        <f>IF(B21="SL","SL","")</f>
        <v/>
      </c>
      <c r="H22" s="30" t="n"/>
      <c r="I22" s="34">
        <f>IFERROR(IF(SUM(C21:G21)&gt;24,"إجمالي &gt; 24 ساعة.",SUM(C21:G21)), "")</f>
        <v/>
      </c>
      <c r="J22" s="43" t="n"/>
    </row>
    <row r="23" ht="30" customHeight="1" s="44">
      <c r="A23" s="61" t="n"/>
      <c r="B23" s="26" t="n"/>
      <c r="C23" s="26" t="n"/>
      <c r="D23" s="26" t="n"/>
      <c r="E23" s="26" t="n"/>
      <c r="F23" s="26" t="n"/>
      <c r="G23" s="26">
        <f>IF(B23="SL","SL","")</f>
        <v/>
      </c>
      <c r="H23" s="24" t="n"/>
      <c r="I23" s="28">
        <f>IFERROR(IF(SUM(C23:G23)&gt;24,"إجمالي &gt; 24 ساعة.",SUM(C23:G23)), "")</f>
        <v/>
      </c>
      <c r="J23" s="43" t="n"/>
    </row>
    <row r="24" ht="30" customHeight="1" s="44">
      <c r="A24" s="62" t="n"/>
      <c r="B24" s="27" t="n"/>
      <c r="C24" s="11" t="n"/>
      <c r="D24" s="27" t="n"/>
      <c r="E24" s="34" t="n"/>
      <c r="F24" s="34" t="n"/>
      <c r="G24" s="29">
        <f>IF(B24="SL","SL","")</f>
        <v/>
      </c>
      <c r="H24" s="30" t="n"/>
      <c r="I24" s="34">
        <f>IFERROR(IF(SUM(C24:G24)&gt;24,"إجمالي &gt; 24 ساعة.",SUM(C24:G24)), "")</f>
        <v/>
      </c>
      <c r="J24" s="43" t="n"/>
    </row>
    <row r="25" ht="30" customHeight="1" s="44">
      <c r="A25" s="61" t="n"/>
      <c r="B25" s="26" t="n"/>
      <c r="C25" s="26" t="n"/>
      <c r="D25" s="26" t="n"/>
      <c r="E25" s="26" t="n"/>
      <c r="F25" s="26" t="n"/>
      <c r="G25" s="26">
        <f>IF(B25="SL","SL","")</f>
        <v/>
      </c>
      <c r="H25" s="24" t="n"/>
      <c r="I25" s="28">
        <f>IFERROR(IF(SUM(C25:G25)&gt;24,"إجمالي &gt; 24 ساعة.",SUM(C25:G25)), "")</f>
        <v/>
      </c>
      <c r="J25" s="43" t="n"/>
    </row>
    <row r="26" ht="30" customHeight="1" s="44">
      <c r="A26" s="62" t="n"/>
      <c r="B26" s="27" t="n"/>
      <c r="C26" s="11" t="n"/>
      <c r="D26" s="27" t="n"/>
      <c r="E26" s="34" t="n"/>
      <c r="F26" s="34" t="n"/>
      <c r="G26" s="29">
        <f>IF(B26="SL","SL","")</f>
        <v/>
      </c>
      <c r="H26" s="30" t="n"/>
      <c r="I26" s="34">
        <f>IFERROR(IF(SUM(C26:G26)&gt;24,"إجمالي &gt; 24 ساعة.",SUM(C26:G26)), "")</f>
        <v/>
      </c>
      <c r="J26" s="43" t="n"/>
    </row>
    <row r="27" ht="30" customHeight="1" s="44">
      <c r="A27" s="61" t="n"/>
      <c r="B27" s="26" t="n"/>
      <c r="C27" s="26" t="n"/>
      <c r="D27" s="26" t="n"/>
      <c r="E27" s="26" t="n"/>
      <c r="F27" s="26" t="n"/>
      <c r="G27" s="26">
        <f>IF(B27="SL","SL","")</f>
        <v/>
      </c>
      <c r="H27" s="24" t="n"/>
      <c r="I27" s="28">
        <f>IFERROR(IF(SUM(C27:G27)&gt;24,"إجمالي &gt; 24 ساعة.",SUM(C27:G27)), "")</f>
        <v/>
      </c>
      <c r="J27" s="43" t="n"/>
    </row>
    <row r="28" ht="30" customHeight="1" s="44">
      <c r="A28" s="62" t="n"/>
      <c r="B28" s="27" t="n"/>
      <c r="C28" s="11" t="n"/>
      <c r="D28" s="27" t="n"/>
      <c r="E28" s="34" t="n"/>
      <c r="F28" s="34" t="n"/>
      <c r="G28" s="29">
        <f>IF(B28="SL","SL","")</f>
        <v/>
      </c>
      <c r="H28" s="30" t="n"/>
      <c r="I28" s="34">
        <f>IFERROR(IF(SUM(C28:G28)&gt;24,"إجمالي &gt; 24 ساعة.",SUM(C28:G28)), "")</f>
        <v/>
      </c>
      <c r="J28" s="43" t="n"/>
    </row>
    <row r="29" ht="30" customHeight="1" s="44">
      <c r="A29" s="61" t="n"/>
      <c r="B29" s="26" t="n"/>
      <c r="C29" s="26" t="n"/>
      <c r="D29" s="26" t="n"/>
      <c r="E29" s="26" t="n"/>
      <c r="F29" s="26" t="n"/>
      <c r="G29" s="26">
        <f>IF(B29="SL","SL","")</f>
        <v/>
      </c>
      <c r="H29" s="24" t="n"/>
      <c r="I29" s="28">
        <f>IFERROR(IF(SUM(C29:G29)&gt;24,"إجمالي &gt; 24 ساعة.",SUM(C29:G29)), "")</f>
        <v/>
      </c>
      <c r="J29" s="43" t="n"/>
    </row>
    <row r="30" ht="30" customHeight="1" s="44">
      <c r="A30" s="62" t="n"/>
      <c r="B30" s="27" t="n"/>
      <c r="C30" s="11" t="n"/>
      <c r="D30" s="27" t="n"/>
      <c r="E30" s="34" t="n"/>
      <c r="F30" s="34" t="n"/>
      <c r="G30" s="29">
        <f>IF(B30="SL","SL","")</f>
        <v/>
      </c>
      <c r="H30" s="30" t="n"/>
      <c r="I30" s="34">
        <f>IFERROR(IF(SUM(C30:G30)&gt;24,"إجمالي &gt; 24 ساعة.",SUM(C30:G30)), "")</f>
        <v/>
      </c>
      <c r="J30" s="43" t="n"/>
    </row>
    <row r="31" ht="30" customHeight="1" s="44">
      <c r="A31" s="61" t="n"/>
      <c r="B31" s="26" t="n"/>
      <c r="C31" s="26" t="n"/>
      <c r="D31" s="26" t="n"/>
      <c r="E31" s="26" t="n"/>
      <c r="F31" s="26" t="n"/>
      <c r="G31" s="26">
        <f>IF(B31="SL","SL","")</f>
        <v/>
      </c>
      <c r="H31" s="24" t="n"/>
      <c r="I31" s="28">
        <f>IFERROR(IF(SUM(C31:G31)&gt;24,"إجمالي &gt; 24 ساعة.",SUM(C31:G31)), "")</f>
        <v/>
      </c>
      <c r="J31" s="43" t="n"/>
    </row>
    <row r="32" ht="30" customHeight="1" s="44">
      <c r="A32" s="62" t="n"/>
      <c r="B32" s="27" t="n"/>
      <c r="C32" s="11" t="n"/>
      <c r="D32" s="27" t="n"/>
      <c r="E32" s="34" t="n"/>
      <c r="F32" s="34" t="n"/>
      <c r="G32" s="29">
        <f>IF(B32="SL","SL","")</f>
        <v/>
      </c>
      <c r="H32" s="30" t="n"/>
      <c r="I32" s="34">
        <f>IFERROR(IF(SUM(C32:G32)&gt;24,"إجمالي &gt; 24 ساعة.",SUM(C32:G32)), "")</f>
        <v/>
      </c>
      <c r="J32" s="43" t="n"/>
    </row>
    <row r="33" ht="30" customHeight="1" s="44">
      <c r="A33" s="61" t="n"/>
      <c r="B33" s="26" t="n"/>
      <c r="C33" s="26" t="n"/>
      <c r="D33" s="26" t="n"/>
      <c r="E33" s="26" t="n"/>
      <c r="F33" s="26" t="n"/>
      <c r="G33" s="26">
        <f>IF(B33="SL","SL","")</f>
        <v/>
      </c>
      <c r="H33" s="24" t="n"/>
      <c r="I33" s="28">
        <f>IFERROR(IF(SUM(C33:G33)&gt;24,"إجمالي &gt; 24 ساعة.",SUM(C33:G33)), "")</f>
        <v/>
      </c>
      <c r="J33" s="43" t="n"/>
    </row>
    <row r="34" ht="30" customHeight="1" s="44">
      <c r="A34" s="62" t="n"/>
      <c r="B34" s="31" t="n"/>
      <c r="C34" s="11" t="n"/>
      <c r="D34" s="34" t="n"/>
      <c r="E34" s="34" t="n"/>
      <c r="F34" s="34" t="n"/>
      <c r="G34" s="29">
        <f>IF(B34="SL","SL","")</f>
        <v/>
      </c>
      <c r="H34" s="30" t="n"/>
      <c r="I34" s="34">
        <f>IFERROR(IF(SUM(C34:G34)&gt;24,"إجمالي &gt; 24 ساعة.",SUM(C34:G34)), "")</f>
        <v/>
      </c>
      <c r="J34" s="43" t="n"/>
    </row>
    <row r="35" ht="30" customHeight="1" s="44">
      <c r="A35" s="61" t="n"/>
      <c r="B35" s="26" t="n"/>
      <c r="C35" s="26" t="n"/>
      <c r="D35" s="26" t="n"/>
      <c r="E35" s="26" t="n"/>
      <c r="F35" s="26" t="n"/>
      <c r="G35" s="26">
        <f>IF(B35="SL","SL","")</f>
        <v/>
      </c>
      <c r="H35" s="24" t="n"/>
      <c r="I35" s="28">
        <f>IFERROR(IF(SUM(C35:G35)&gt;24,"إجمالي &gt; 24 ساعة.",SUM(C35:G35)), "")</f>
        <v/>
      </c>
      <c r="J35" s="43" t="n"/>
    </row>
    <row r="36" ht="30" customHeight="1" s="44">
      <c r="A36" s="62" t="n"/>
      <c r="B36" s="31" t="n"/>
      <c r="C36" s="11" t="n"/>
      <c r="D36" s="34" t="n"/>
      <c r="E36" s="34" t="n"/>
      <c r="F36" s="34" t="n"/>
      <c r="G36" s="29" t="n"/>
      <c r="H36" s="30" t="n"/>
      <c r="I36" s="34">
        <f>IFERROR(IF(SUM(C36:G36)&gt;24,"إجمالي &gt; 24 ساعة.",SUM(C36:G36)), "")</f>
        <v/>
      </c>
      <c r="J36" s="43" t="n"/>
    </row>
    <row r="37" ht="30" customHeight="1" s="44">
      <c r="A37" s="61" t="n"/>
      <c r="B37" s="26" t="n"/>
      <c r="C37" s="26" t="n"/>
      <c r="D37" s="26" t="n"/>
      <c r="E37" s="26" t="n"/>
      <c r="F37" s="26" t="n"/>
      <c r="G37" s="26" t="n"/>
      <c r="H37" s="24" t="n"/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conditionalFormatting sqref="B34 B36">
    <cfRule type="expression" priority="1" dxfId="1">
      <formula>$B34="SL"</formula>
    </cfRule>
    <cfRule type="expression" priority="2" dxfId="0">
      <formula>$B34="W"</formula>
    </cfRule>
  </conditionalFormatting>
  <dataValidations disablePrompts="1" count="11">
    <dataValidation sqref="D34:D37" showDropDown="0" showInputMessage="1" showErrorMessage="1" allowBlank="0" type="custom">
      <formula1>IF($C34&lt;&gt;"",TRUE,FALSE)</formula1>
    </dataValidation>
    <dataValidation sqref="D42" showDropDown="0" showInputMessage="1" showErrorMessage="1" allowBlank="0" prompt="هذه الخلية مخصصة لعرض مجموع اجر عمل الساعات الاضافية_x000a_"/>
    <dataValidation sqref="A39:A42" showDropDown="0" showInputMessage="1" showErrorMessage="1" allowBlank="0" prompt="أدخل قيمة الأجر في الساعة في الخلايا إلى اليمين"/>
    <dataValidation sqref="B6" showDropDown="0" showInputMessage="1" showErrorMessage="1" allowBlank="0" prompt="يتم تحديث التاريخ تلقائياً في هذا العمود أسفل هذا العنوان بناءً على تاريخ انتهاء الأسبوع في الخلية C6"/>
    <dataValidation sqref="C6" showDropDown="0" showInputMessage="1" showErrorMessage="1" allowBlank="0" prompt="أدخل &quot;ساعات العمل العادية&quot; في هذا العمود أسفل هذا العنوان"/>
    <dataValidation sqref="D6" showDropDown="0" showInputMessage="1" showErrorMessage="1" allowBlank="0" prompt="أدخل ساعات العمل الإضافي في هذا العمود ضمن هذا العنوان"/>
    <dataValidation sqref="G6" showDropDown="0" showInputMessage="1" showErrorMessage="1" allowBlank="0" prompt="أدخل ساعات الإجازات المرضية في هذا العمود أسفل هذا العنوان"/>
    <dataValidation sqref="E4 E6 H2:H3" showDropDown="0" showInputMessage="1" showErrorMessage="1" allowBlank="0" prompt="أدخل &quot;ساعات العطلات&quot; في هذا العمود أسفل هذا العنوان"/>
    <dataValidation sqref="H6:I6" showDropDown="0" showInputMessage="1" showErrorMessage="1" allowBlank="0" prompt="يتم حساب إجمالي ساعات العمل لكل يوم تلقائياً في هذا العمود أسفل هذا العنوان"/>
    <dataValidation sqref="A38" showDropDown="0" showInputMessage="1" showErrorMessage="1" allowBlank="0" prompt="يتم حساب إجمالي الساعات للفترة بأكملها تلقائياً في الخلايا إلى اليسار"/>
    <dataValidation sqref="A42" showDropDown="0" showInputMessage="1" showErrorMessage="1" allowBlank="0" prompt="يتم حساب إجمالي الأجر تلقائياً في الخلايا إلى اليسار"/>
  </dataValidations>
  <printOptions horizontalCentered="1" verticalCentered="1"/>
  <pageMargins left="0.25" right="0.25" top="0.75" bottom="0.75" header="0.3" footer="0.3"/>
  <pageSetup orientation="portrait" paperSize="9" scale="52" horizontalDpi="429496729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3500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عرفان مظفر حسين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Waleed Al Amari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inlineStr">
        <is>
          <t>Weekend</t>
        </is>
      </c>
    </row>
    <row r="10" ht="32" customHeight="1" s="44">
      <c r="A10" s="62" t="n">
        <v>46116</v>
      </c>
      <c r="B10" s="76" t="inlineStr">
        <is>
          <t>W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Waleed Al Amari</t>
        </is>
      </c>
      <c r="I10" s="34">
        <f>IFERROR(IF(SUM(C10:G10)&gt;24,"إجمالي &gt; 24 ساعة.",SUM(C10:G10)), "")</f>
        <v/>
      </c>
      <c r="J10" s="70" t="inlineStr">
        <is>
          <t>Weekend</t>
        </is>
      </c>
    </row>
    <row r="11" ht="32" customHeight="1" s="44">
      <c r="A11" s="61" t="n">
        <v>46117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46118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Waleed Al Amari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46119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46120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Waleed Al Amari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46121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46122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46123</v>
      </c>
      <c r="B17" s="76" t="inlineStr">
        <is>
          <t>W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inlineStr">
        <is>
          <t>Weekend</t>
        </is>
      </c>
    </row>
    <row r="18" ht="32" customHeight="1" s="44">
      <c r="A18" s="62" t="n">
        <v>46124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Farm 826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46125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Farm 826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46126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n">
        <v/>
      </c>
    </row>
    <row r="21" ht="32" customHeight="1" s="44">
      <c r="A21" s="61" t="n">
        <v>46127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Waleed Al Amari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46128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46129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46130</v>
      </c>
      <c r="B24" s="76" t="inlineStr">
        <is>
          <t>W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Farm 826</t>
        </is>
      </c>
      <c r="I24" s="34">
        <f>IFERROR(IF(SUM(C24:G24)&gt;24,"إجمالي &gt; 24 ساعة.",SUM(C24:G24)), "")</f>
        <v/>
      </c>
      <c r="J24" s="70" t="inlineStr">
        <is>
          <t>Weekend</t>
        </is>
      </c>
    </row>
    <row r="25" ht="32" customHeight="1" s="44">
      <c r="A25" s="61" t="n">
        <v>46131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46132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46133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Farm 826</t>
        </is>
      </c>
      <c r="I27" s="28">
        <f>IFERROR(IF(SUM(C27:G27)&gt;24,"إجمالي &gt; 24 ساعة.",SUM(C27:G27)), "")</f>
        <v/>
      </c>
      <c r="J27" s="70" t="n">
        <v/>
      </c>
    </row>
    <row r="28" ht="32" customHeight="1" s="44">
      <c r="A28" s="62" t="n">
        <v>46134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46135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Waleed Al Amari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46136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Waleed Al Amari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46137</v>
      </c>
      <c r="B31" s="76" t="inlineStr">
        <is>
          <t>W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Waleed Al Amari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46138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Waleed Al Amari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46139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Waleed Al Amari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46140</v>
      </c>
      <c r="B34" s="77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Abdullah Aljunaibi</t>
        </is>
      </c>
      <c r="I34" s="34">
        <f>IFERROR(IF(SUM(C34:G34)&gt;24,"إجمالي &gt; 24 ساعة.",SUM(C34:G34)), "")</f>
        <v/>
      </c>
      <c r="J34" s="70" t="n">
        <v/>
      </c>
    </row>
    <row r="35" ht="32" customHeight="1" s="44">
      <c r="A35" s="61" t="n">
        <v>46141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46142</v>
      </c>
      <c r="B36" s="77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Abdullah Aljunaibi</t>
        </is>
      </c>
      <c r="I36" s="34">
        <f>IFERROR(IF(SUM(C36:G36)&gt;24,"إجمالي &gt; 24 ساعة.",SUM(C36:G36)), "")</f>
        <v/>
      </c>
      <c r="J36" s="70" t="n">
        <v/>
      </c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2500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وزير خان حبيب الله خان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Abdullah Aljunaibi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Saeed Al Zubaidi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Abdullah Aljunaibi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46116</v>
      </c>
      <c r="B10" s="76" t="inlineStr">
        <is>
          <t>W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inlineStr">
        <is>
          <t>Weekend</t>
        </is>
      </c>
    </row>
    <row r="11" ht="32" customHeight="1" s="44">
      <c r="A11" s="61" t="n">
        <v>46117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46118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46119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Waleed Al Amari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46120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46121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46122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46123</v>
      </c>
      <c r="B17" s="76" t="inlineStr">
        <is>
          <t>W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inlineStr">
        <is>
          <t>Weekend</t>
        </is>
      </c>
    </row>
    <row r="18" ht="32" customHeight="1" s="44">
      <c r="A18" s="62" t="n">
        <v>46124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46125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Farm 826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46126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Abdullah Aljunaibi</t>
        </is>
      </c>
      <c r="I20" s="34">
        <f>IFERROR(IF(SUM(C20:G20)&gt;24,"إجمالي &gt; 24 ساعة.",SUM(C20:G20)), "")</f>
        <v/>
      </c>
      <c r="J20" s="70" t="n">
        <v/>
      </c>
    </row>
    <row r="21" ht="32" customHeight="1" s="44">
      <c r="A21" s="61" t="n">
        <v>46127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46128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Farm 826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46129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Farm 826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46130</v>
      </c>
      <c r="B24" s="76" t="inlineStr">
        <is>
          <t>W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inlineStr">
        <is>
          <t>Weekend</t>
        </is>
      </c>
    </row>
    <row r="25" ht="32" customHeight="1" s="44">
      <c r="A25" s="61" t="n">
        <v>46131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Farm 826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46132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46133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Farm 826</t>
        </is>
      </c>
      <c r="I27" s="28">
        <f>IFERROR(IF(SUM(C27:G27)&gt;24,"إجمالي &gt; 24 ساعة.",SUM(C27:G27)), "")</f>
        <v/>
      </c>
      <c r="J27" s="70" t="n">
        <v/>
      </c>
    </row>
    <row r="28" ht="32" customHeight="1" s="44">
      <c r="A28" s="62" t="n">
        <v>46134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46135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46136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Abdullah Aljunaibi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46137</v>
      </c>
      <c r="B31" s="76" t="inlineStr">
        <is>
          <t>W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Abdullah Aljunaibi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46138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Waleed Al Amari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46139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Waleed Al Amari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46140</v>
      </c>
      <c r="B34" s="77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Abdullah Aljunaibi</t>
        </is>
      </c>
      <c r="I34" s="34">
        <f>IFERROR(IF(SUM(C34:G34)&gt;24,"إجمالي &gt; 24 ساعة.",SUM(C34:G34)), "")</f>
        <v/>
      </c>
      <c r="J34" s="70" t="n">
        <v/>
      </c>
    </row>
    <row r="35" ht="32" customHeight="1" s="44">
      <c r="A35" s="61" t="n">
        <v>46141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46142</v>
      </c>
      <c r="B36" s="77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>
        <v/>
      </c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2600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عبدالودود عجب خان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Abdullah Aljunaibi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Abdullah Aljunaibi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46116</v>
      </c>
      <c r="B10" s="76" t="inlineStr">
        <is>
          <t>W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inlineStr">
        <is>
          <t>Weekend</t>
        </is>
      </c>
    </row>
    <row r="11" ht="32" customHeight="1" s="44">
      <c r="A11" s="61" t="n">
        <v>46117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Waleed Al Amari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46118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Waleed Al Amari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46119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Waleed Al Amari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46120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46121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Waleed Al Amari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46122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46123</v>
      </c>
      <c r="B17" s="76" t="inlineStr">
        <is>
          <t>W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inlineStr">
        <is>
          <t>Weekend</t>
        </is>
      </c>
    </row>
    <row r="18" ht="32" customHeight="1" s="44">
      <c r="A18" s="62" t="n">
        <v>46124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Farm 826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46125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Waleed Al Amari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46126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Abdullah Aljunaibi</t>
        </is>
      </c>
      <c r="I20" s="34">
        <f>IFERROR(IF(SUM(C20:G20)&gt;24,"إجمالي &gt; 24 ساعة.",SUM(C20:G20)), "")</f>
        <v/>
      </c>
      <c r="J20" s="70" t="n">
        <v/>
      </c>
    </row>
    <row r="21" ht="32" customHeight="1" s="44">
      <c r="A21" s="61" t="n">
        <v>46127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Saeed Al Zubaidi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46128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Saeed Al Zubaidi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46129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46130</v>
      </c>
      <c r="B24" s="76" t="inlineStr">
        <is>
          <t>W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Waleed Al Amari</t>
        </is>
      </c>
      <c r="I24" s="34">
        <f>IFERROR(IF(SUM(C24:G24)&gt;24,"إجمالي &gt; 24 ساعة.",SUM(C24:G24)), "")</f>
        <v/>
      </c>
      <c r="J24" s="70" t="inlineStr">
        <is>
          <t>Weekend</t>
        </is>
      </c>
    </row>
    <row r="25" ht="32" customHeight="1" s="44">
      <c r="A25" s="61" t="n">
        <v>46131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46132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Waleed Al Amari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46133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Waleed Al Amari</t>
        </is>
      </c>
      <c r="I27" s="28">
        <f>IFERROR(IF(SUM(C27:G27)&gt;24,"إجمالي &gt; 24 ساعة.",SUM(C27:G27)), "")</f>
        <v/>
      </c>
      <c r="J27" s="70" t="n">
        <v/>
      </c>
    </row>
    <row r="28" ht="32" customHeight="1" s="44">
      <c r="A28" s="62" t="n">
        <v>46134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46135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46136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Waleed Al Amari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46137</v>
      </c>
      <c r="B31" s="76" t="inlineStr">
        <is>
          <t>W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Farm 826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46138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Farm 826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46139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Farm 826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46140</v>
      </c>
      <c r="B34" s="77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Waleed Al Amari</t>
        </is>
      </c>
      <c r="I34" s="34">
        <f>IFERROR(IF(SUM(C34:G34)&gt;24,"إجمالي &gt; 24 ساعة.",SUM(C34:G34)), "")</f>
        <v/>
      </c>
      <c r="J34" s="70" t="n">
        <v/>
      </c>
    </row>
    <row r="35" ht="32" customHeight="1" s="44">
      <c r="A35" s="61" t="n">
        <v>46141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46142</v>
      </c>
      <c r="B36" s="77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Abdullah Aljunaibi</t>
        </is>
      </c>
      <c r="I36" s="34">
        <f>IFERROR(IF(SUM(C36:G36)&gt;24,"إجمالي &gt; 24 ساعة.",SUM(C36:G36)), "")</f>
        <v/>
      </c>
      <c r="J36" s="70" t="n">
        <v/>
      </c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برينس كومار بانديت بهارات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Abdullah Aljunaibi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>
        <v>1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46116</v>
      </c>
      <c r="B10" s="76" t="inlineStr">
        <is>
          <t>W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inlineStr">
        <is>
          <t>Weekend</t>
        </is>
      </c>
    </row>
    <row r="11" ht="32" customHeight="1" s="44">
      <c r="A11" s="61" t="n">
        <v>46117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Faya 334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46118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46119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Saeed Al Zubaidi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46120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Saeed Al Zubaidi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46121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Waleed Al Amari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46122</v>
      </c>
      <c r="B16" s="71" t="inlineStr">
        <is>
          <t>P</t>
        </is>
      </c>
      <c r="C16" s="72" t="n">
        <v>8</v>
      </c>
      <c r="D16" s="71" t="n">
        <v>1</v>
      </c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46123</v>
      </c>
      <c r="B17" s="76" t="inlineStr">
        <is>
          <t>W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inlineStr">
        <is>
          <t>Weekend</t>
        </is>
      </c>
    </row>
    <row r="18" ht="32" customHeight="1" s="44">
      <c r="A18" s="62" t="n">
        <v>46124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Saeed Al Zubaidi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46125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46126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Abdullah Aljunaibi</t>
        </is>
      </c>
      <c r="I20" s="34">
        <f>IFERROR(IF(SUM(C20:G20)&gt;24,"إجمالي &gt; 24 ساعة.",SUM(C20:G20)), "")</f>
        <v/>
      </c>
      <c r="J20" s="70" t="n">
        <v/>
      </c>
    </row>
    <row r="21" ht="32" customHeight="1" s="44">
      <c r="A21" s="61" t="n">
        <v>46127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46128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46129</v>
      </c>
      <c r="B23" s="68" t="inlineStr">
        <is>
          <t>P</t>
        </is>
      </c>
      <c r="C23" s="68" t="n">
        <v>8</v>
      </c>
      <c r="D23" s="68" t="n">
        <v>1</v>
      </c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46130</v>
      </c>
      <c r="B24" s="76" t="inlineStr">
        <is>
          <t>W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inlineStr">
        <is>
          <t>Weekend</t>
        </is>
      </c>
    </row>
    <row r="25" ht="32" customHeight="1" s="44">
      <c r="A25" s="61" t="n">
        <v>46131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Waleed Al Amari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46132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Saeed Al Zubaidi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46133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Saeed Al Zubaidi</t>
        </is>
      </c>
      <c r="I27" s="28">
        <f>IFERROR(IF(SUM(C27:G27)&gt;24,"إجمالي &gt; 24 ساعة.",SUM(C27:G27)), "")</f>
        <v/>
      </c>
      <c r="J27" s="70" t="n">
        <v/>
      </c>
    </row>
    <row r="28" ht="32" customHeight="1" s="44">
      <c r="A28" s="62" t="n">
        <v>46134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Waleed Al Amari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46135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46136</v>
      </c>
      <c r="B30" s="71" t="inlineStr">
        <is>
          <t>P</t>
        </is>
      </c>
      <c r="C30" s="72" t="n">
        <v>8</v>
      </c>
      <c r="D30" s="71" t="n">
        <v>1</v>
      </c>
      <c r="E30" s="74" t="n"/>
      <c r="F30" s="74" t="n"/>
      <c r="G30" s="29">
        <f>IF(B30="SL","SL","")</f>
        <v/>
      </c>
      <c r="H30" s="75" t="inlineStr">
        <is>
          <t>Abdullah Aljunaibi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46137</v>
      </c>
      <c r="B31" s="76" t="inlineStr">
        <is>
          <t>W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Abdullah Aljunaibi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46138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Abdullah Aljunaibi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46139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Abdullah Aljunaibi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46140</v>
      </c>
      <c r="B34" s="77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Abdullah Aljunaibi</t>
        </is>
      </c>
      <c r="I34" s="34">
        <f>IFERROR(IF(SUM(C34:G34)&gt;24,"إجمالي &gt; 24 ساعة.",SUM(C34:G34)), "")</f>
        <v/>
      </c>
      <c r="J34" s="70" t="n">
        <v/>
      </c>
    </row>
    <row r="35" ht="32" customHeight="1" s="44">
      <c r="A35" s="61" t="n">
        <v>46141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Abdullah Aljunaibi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46142</v>
      </c>
      <c r="B36" s="77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Abdullah Aljunaibi</t>
        </is>
      </c>
      <c r="I36" s="34">
        <f>IFERROR(IF(SUM(C36:G36)&gt;24,"إجمالي &gt; 24 ساعة.",SUM(C36:G36)), "")</f>
        <v/>
      </c>
      <c r="J36" s="70" t="n">
        <v/>
      </c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راما كانت ياداف سانترا ج ياداف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Abdullah Aljunaibi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>
        <v>1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46116</v>
      </c>
      <c r="B10" s="76" t="inlineStr">
        <is>
          <t>W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inlineStr">
        <is>
          <t>Weekend</t>
        </is>
      </c>
    </row>
    <row r="11" ht="32" customHeight="1" s="44">
      <c r="A11" s="61" t="n">
        <v>46117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Faya 334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46118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46119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Saeed Al Zubaidi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46120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Saeed Al Zubaidi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46121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Waleed Al Amari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46122</v>
      </c>
      <c r="B16" s="71" t="inlineStr">
        <is>
          <t>P</t>
        </is>
      </c>
      <c r="C16" s="72" t="n">
        <v>8</v>
      </c>
      <c r="D16" s="71" t="n">
        <v>1</v>
      </c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46123</v>
      </c>
      <c r="B17" s="76" t="inlineStr">
        <is>
          <t>W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inlineStr">
        <is>
          <t>Weekend</t>
        </is>
      </c>
    </row>
    <row r="18" ht="32" customHeight="1" s="44">
      <c r="A18" s="62" t="n">
        <v>46124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Saeed Al Zubaidi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46125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46126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Abdullah Aljunaibi</t>
        </is>
      </c>
      <c r="I20" s="34">
        <f>IFERROR(IF(SUM(C20:G20)&gt;24,"إجمالي &gt; 24 ساعة.",SUM(C20:G20)), "")</f>
        <v/>
      </c>
      <c r="J20" s="70" t="n">
        <v/>
      </c>
    </row>
    <row r="21" ht="32" customHeight="1" s="44">
      <c r="A21" s="61" t="n">
        <v>46127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46128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46129</v>
      </c>
      <c r="B23" s="68" t="inlineStr">
        <is>
          <t>P</t>
        </is>
      </c>
      <c r="C23" s="68" t="n">
        <v>8</v>
      </c>
      <c r="D23" s="68" t="n">
        <v>1</v>
      </c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46130</v>
      </c>
      <c r="B24" s="76" t="inlineStr">
        <is>
          <t>W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inlineStr">
        <is>
          <t>Weekend</t>
        </is>
      </c>
    </row>
    <row r="25" ht="32" customHeight="1" s="44">
      <c r="A25" s="61" t="n">
        <v>46131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Waleed Al Amari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46132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Abdullah Aljunaibi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46133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Abdullah Aljunaibi</t>
        </is>
      </c>
      <c r="I27" s="28">
        <f>IFERROR(IF(SUM(C27:G27)&gt;24,"إجمالي &gt; 24 ساعة.",SUM(C27:G27)), "")</f>
        <v/>
      </c>
      <c r="J27" s="70" t="n">
        <v/>
      </c>
    </row>
    <row r="28" ht="32" customHeight="1" s="44">
      <c r="A28" s="62" t="n">
        <v>46134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Waleed Al Amari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46135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46136</v>
      </c>
      <c r="B30" s="71" t="inlineStr">
        <is>
          <t>P</t>
        </is>
      </c>
      <c r="C30" s="72" t="n">
        <v>8</v>
      </c>
      <c r="D30" s="71" t="n">
        <v>1</v>
      </c>
      <c r="E30" s="74" t="n"/>
      <c r="F30" s="74" t="n"/>
      <c r="G30" s="29">
        <f>IF(B30="SL","SL","")</f>
        <v/>
      </c>
      <c r="H30" s="75" t="inlineStr">
        <is>
          <t>Abdullah Aljunaibi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46137</v>
      </c>
      <c r="B31" s="76" t="inlineStr">
        <is>
          <t>W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Abdullah Aljunaibi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46138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Abdullah Aljunaibi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46139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Abdullah Aljunaibi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46140</v>
      </c>
      <c r="B34" s="77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Abdullah Aljunaibi</t>
        </is>
      </c>
      <c r="I34" s="34">
        <f>IFERROR(IF(SUM(C34:G34)&gt;24,"إجمالي &gt; 24 ساعة.",SUM(C34:G34)), "")</f>
        <v/>
      </c>
      <c r="J34" s="70" t="n">
        <v/>
      </c>
    </row>
    <row r="35" ht="32" customHeight="1" s="44">
      <c r="A35" s="61" t="n">
        <v>46141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Abdullah Aljunaibi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46142</v>
      </c>
      <c r="B36" s="77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>
        <v/>
      </c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1100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نظر جان محمد ظاهر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Abdullah Aljunaibi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Abdullah Aljunaibi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>
        <v>1</v>
      </c>
      <c r="E9" s="68" t="n"/>
      <c r="F9" s="68" t="n"/>
      <c r="G9" s="26">
        <f>IF(B9="SL","SL","")</f>
        <v/>
      </c>
      <c r="H9" s="69" t="inlineStr">
        <is>
          <t>Abdullah Aljunaibi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46116</v>
      </c>
      <c r="B10" s="76" t="inlineStr">
        <is>
          <t>W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inlineStr">
        <is>
          <t>Weekend</t>
        </is>
      </c>
    </row>
    <row r="11" ht="32" customHeight="1" s="44">
      <c r="A11" s="61" t="n">
        <v>46117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Abdullah Aljunaibi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46118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Abdullah Aljunaibi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46119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46120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46121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Waleed Al Amari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46122</v>
      </c>
      <c r="B16" s="71" t="inlineStr">
        <is>
          <t>P</t>
        </is>
      </c>
      <c r="C16" s="72" t="n">
        <v>8</v>
      </c>
      <c r="D16" s="71" t="n">
        <v>1</v>
      </c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46123</v>
      </c>
      <c r="B17" s="76" t="inlineStr">
        <is>
          <t>W</t>
        </is>
      </c>
      <c r="C17" s="68" t="n">
        <v>8</v>
      </c>
      <c r="D17" s="68" t="n"/>
      <c r="E17" s="68" t="n">
        <v>6</v>
      </c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inlineStr">
        <is>
          <t xml:space="preserve">Weekend تشوين طابوق </t>
        </is>
      </c>
    </row>
    <row r="18" ht="32" customHeight="1" s="44">
      <c r="A18" s="62" t="n">
        <v>46124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46125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Waleed Al Amari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46126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Waleed Al Amari</t>
        </is>
      </c>
      <c r="I20" s="34">
        <f>IFERROR(IF(SUM(C20:G20)&gt;24,"إجمالي &gt; 24 ساعة.",SUM(C20:G20)), "")</f>
        <v/>
      </c>
      <c r="J20" s="70" t="n">
        <v/>
      </c>
    </row>
    <row r="21" ht="32" customHeight="1" s="44">
      <c r="A21" s="61" t="n">
        <v>46127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46128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Abdullah Aljunaibi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46129</v>
      </c>
      <c r="B23" s="68" t="inlineStr">
        <is>
          <t>P</t>
        </is>
      </c>
      <c r="C23" s="68" t="n">
        <v>8</v>
      </c>
      <c r="D23" s="68" t="n">
        <v>1</v>
      </c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46130</v>
      </c>
      <c r="B24" s="76" t="inlineStr">
        <is>
          <t>W</t>
        </is>
      </c>
      <c r="C24" s="72" t="n">
        <v>8</v>
      </c>
      <c r="D24" s="71" t="n"/>
      <c r="E24" s="74" t="n">
        <v>6</v>
      </c>
      <c r="F24" s="74" t="n"/>
      <c r="G24" s="29">
        <f>IF(B24="SL","SL","")</f>
        <v/>
      </c>
      <c r="H24" s="75" t="inlineStr">
        <is>
          <t>Waleed Al Amari</t>
        </is>
      </c>
      <c r="I24" s="34">
        <f>IFERROR(IF(SUM(C24:G24)&gt;24,"إجمالي &gt; 24 ساعة.",SUM(C24:G24)), "")</f>
        <v/>
      </c>
      <c r="J24" s="70" t="inlineStr">
        <is>
          <t>Weekend صب سقف طابق الاول يوم ١٥/٤</t>
        </is>
      </c>
    </row>
    <row r="25" ht="32" customHeight="1" s="44">
      <c r="A25" s="61" t="n">
        <v>46131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46132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Abdullah Aljunaibi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46133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Abdullah Aljunaibi</t>
        </is>
      </c>
      <c r="I27" s="28">
        <f>IFERROR(IF(SUM(C27:G27)&gt;24,"إجمالي &gt; 24 ساعة.",SUM(C27:G27)), "")</f>
        <v/>
      </c>
      <c r="J27" s="70" t="n">
        <v/>
      </c>
    </row>
    <row r="28" ht="32" customHeight="1" s="44">
      <c r="A28" s="62" t="n">
        <v>46134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46135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46136</v>
      </c>
      <c r="B30" s="71" t="inlineStr">
        <is>
          <t>P</t>
        </is>
      </c>
      <c r="C30" s="72" t="n">
        <v>8</v>
      </c>
      <c r="D30" s="71" t="n">
        <v>1</v>
      </c>
      <c r="E30" s="74" t="n"/>
      <c r="F30" s="74" t="n"/>
      <c r="G30" s="29">
        <f>IF(B30="SL","SL","")</f>
        <v/>
      </c>
      <c r="H30" s="75" t="inlineStr">
        <is>
          <t>Abdullah Aljunaibi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46137</v>
      </c>
      <c r="B31" s="76" t="inlineStr">
        <is>
          <t>W</t>
        </is>
      </c>
      <c r="C31" s="68" t="n">
        <v>8</v>
      </c>
      <c r="D31" s="68" t="n"/>
      <c r="E31" s="68" t="n">
        <v>6</v>
      </c>
      <c r="F31" s="68" t="n"/>
      <c r="G31" s="26">
        <f>IF(B31="SL","SL","")</f>
        <v/>
      </c>
      <c r="H31" s="69" t="inlineStr">
        <is>
          <t>Waleed Al Amari</t>
        </is>
      </c>
      <c r="I31" s="28">
        <f>IFERROR(IF(SUM(C31:G31)&gt;24,"إجمالي &gt; 24 ساعة.",SUM(C31:G31)), "")</f>
        <v/>
      </c>
      <c r="J31" s="70" t="inlineStr">
        <is>
          <t>Weekend صب اعمدة الرووف</t>
        </is>
      </c>
    </row>
    <row r="32" ht="32" customHeight="1" s="44">
      <c r="A32" s="62" t="n">
        <v>46138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Farm 826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46139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Farm 826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46140</v>
      </c>
      <c r="B34" s="77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Abdullah Aljunaibi</t>
        </is>
      </c>
      <c r="I34" s="34">
        <f>IFERROR(IF(SUM(C34:G34)&gt;24,"إجمالي &gt; 24 ساعة.",SUM(C34:G34)), "")</f>
        <v/>
      </c>
      <c r="J34" s="70" t="n">
        <v/>
      </c>
    </row>
    <row r="35" ht="32" customHeight="1" s="44">
      <c r="A35" s="61" t="n">
        <v>46141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Abdullah Aljunaibi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46142</v>
      </c>
      <c r="B36" s="77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Abdullah Aljunaibi</t>
        </is>
      </c>
      <c r="I36" s="34">
        <f>IFERROR(IF(SUM(C36:G36)&gt;24,"إجمالي &gt; 24 ساعة.",SUM(C36:G36)), "")</f>
        <v/>
      </c>
      <c r="J36" s="70" t="n">
        <v/>
      </c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ارشد على عزيز اور الرحمن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Waleed Al Amari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Waleed Al Amari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>
        <v>1</v>
      </c>
      <c r="E9" s="68" t="n"/>
      <c r="F9" s="68" t="n"/>
      <c r="G9" s="26">
        <f>IF(B9="SL","SL","")</f>
        <v/>
      </c>
      <c r="H9" s="69" t="inlineStr">
        <is>
          <t>Abdullah Aljunaibi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46116</v>
      </c>
      <c r="B10" s="76" t="inlineStr">
        <is>
          <t>W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Waleed Al Amari</t>
        </is>
      </c>
      <c r="I10" s="34">
        <f>IFERROR(IF(SUM(C10:G10)&gt;24,"إجمالي &gt; 24 ساعة.",SUM(C10:G10)), "")</f>
        <v/>
      </c>
      <c r="J10" s="70" t="inlineStr">
        <is>
          <t>Weekend</t>
        </is>
      </c>
    </row>
    <row r="11" ht="32" customHeight="1" s="44">
      <c r="A11" s="61" t="n">
        <v>46117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Abdullah Aljunaibi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46118</v>
      </c>
      <c r="B12" s="71" t="inlineStr">
        <is>
          <t>V</t>
        </is>
      </c>
      <c r="C12" s="72" t="n"/>
      <c r="D12" s="71" t="n"/>
      <c r="E12" s="73" t="n"/>
      <c r="F12" s="74" t="n"/>
      <c r="G12" s="29">
        <f>IF(B12="SL","SL","")</f>
        <v/>
      </c>
      <c r="H12" s="75" t="n">
        <v/>
      </c>
      <c r="I12" s="34">
        <f>IFERROR(IF(SUM(C12:G12)&gt;24,"إجمالي &gt; 24 ساعة.",SUM(C12:G12)), "")</f>
        <v/>
      </c>
      <c r="J12" s="70" t="inlineStr">
        <is>
          <t>Last day was 5/4/2026</t>
        </is>
      </c>
    </row>
    <row r="13" ht="32" customHeight="1" s="44">
      <c r="A13" s="62" t="n">
        <v>46119</v>
      </c>
      <c r="B13" s="68" t="inlineStr">
        <is>
          <t>V</t>
        </is>
      </c>
      <c r="C13" s="68" t="n"/>
      <c r="D13" s="68" t="n"/>
      <c r="E13" s="68" t="n"/>
      <c r="F13" s="68" t="n"/>
      <c r="G13" s="26">
        <f>IF(B13="SL","SL","")</f>
        <v/>
      </c>
      <c r="H13" s="69" t="n">
        <v/>
      </c>
      <c r="I13" s="28">
        <f>IFERROR(IF(SUM(C13:G13)&gt;24,"إجمالي &gt; 24 ساعة.",SUM(C13:G13)), "")</f>
        <v/>
      </c>
      <c r="J13" s="70" t="n">
        <v/>
      </c>
    </row>
    <row r="14" ht="30" customHeight="1" s="44">
      <c r="A14" s="62" t="n"/>
      <c r="B14" s="71" t="n"/>
      <c r="C14" s="72" t="n"/>
      <c r="D14" s="71" t="n"/>
      <c r="E14" s="74" t="n"/>
      <c r="F14" s="74" t="n"/>
      <c r="G14" s="29">
        <f>IF(B14="SL","SL","")</f>
        <v/>
      </c>
      <c r="H14" s="75" t="n"/>
      <c r="I14" s="34">
        <f>IFERROR(IF(SUM(C14:G14)&gt;24,"إجمالي &gt; 24 ساعة.",SUM(C14:G14)), "")</f>
        <v/>
      </c>
      <c r="J14" s="78" t="n"/>
    </row>
    <row r="15" ht="30" customHeight="1" s="44">
      <c r="A15" s="61" t="n"/>
      <c r="B15" s="68" t="n"/>
      <c r="C15" s="68" t="n"/>
      <c r="D15" s="68" t="n"/>
      <c r="E15" s="68" t="n"/>
      <c r="F15" s="68" t="n"/>
      <c r="G15" s="26">
        <f>IF(B15="SL","SL","")</f>
        <v/>
      </c>
      <c r="H15" s="69" t="n"/>
      <c r="I15" s="28">
        <f>IFERROR(IF(SUM(C15:G15)&gt;24,"إجمالي &gt; 24 ساعة.",SUM(C15:G15)), "")</f>
        <v/>
      </c>
      <c r="J15" s="78" t="n"/>
    </row>
    <row r="16" ht="30" customHeight="1" s="44">
      <c r="A16" s="62" t="n"/>
      <c r="B16" s="71" t="n"/>
      <c r="C16" s="72" t="n"/>
      <c r="D16" s="71" t="n"/>
      <c r="E16" s="74" t="n"/>
      <c r="F16" s="74" t="n"/>
      <c r="G16" s="29">
        <f>IF(B16="SL","SL","")</f>
        <v/>
      </c>
      <c r="H16" s="75" t="n"/>
      <c r="I16" s="34">
        <f>IFERROR(IF(SUM(C16:G16)&gt;24,"إجمالي &gt; 24 ساعة.",SUM(C16:G16)), "")</f>
        <v/>
      </c>
      <c r="J16" s="78" t="n"/>
    </row>
    <row r="17" ht="30" customHeight="1" s="44">
      <c r="A17" s="61" t="n"/>
      <c r="B17" s="68" t="n"/>
      <c r="C17" s="68" t="n"/>
      <c r="D17" s="68" t="n"/>
      <c r="E17" s="68" t="n"/>
      <c r="F17" s="68" t="n"/>
      <c r="G17" s="26">
        <f>IF(B17="SL","SL","")</f>
        <v/>
      </c>
      <c r="H17" s="69" t="n"/>
      <c r="I17" s="28">
        <f>IFERROR(IF(SUM(C17:G17)&gt;24,"إجمالي &gt; 24 ساعة.",SUM(C17:G17)), "")</f>
        <v/>
      </c>
      <c r="J17" s="78" t="n"/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8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8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8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8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8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8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8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8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8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8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8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8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8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8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8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8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8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8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8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4500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بلال احمد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Abdullah Aljunaibi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46116</v>
      </c>
      <c r="B10" s="76" t="inlineStr">
        <is>
          <t>W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inlineStr">
        <is>
          <t>Weekend</t>
        </is>
      </c>
    </row>
    <row r="11" ht="32" customHeight="1" s="44">
      <c r="A11" s="61" t="n">
        <v>46117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Faya 334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46118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46119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Saeed Al Zubaidi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46120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Saeed Al Zubaidi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46121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Waleed Al Amari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46122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46123</v>
      </c>
      <c r="B17" s="76" t="inlineStr">
        <is>
          <t>W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inlineStr">
        <is>
          <t>Weekend</t>
        </is>
      </c>
    </row>
    <row r="18" ht="32" customHeight="1" s="44">
      <c r="A18" s="62" t="n">
        <v>46124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Saeed Al Zubaidi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46125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46126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Abdullah Aljunaibi</t>
        </is>
      </c>
      <c r="I20" s="34">
        <f>IFERROR(IF(SUM(C20:G20)&gt;24,"إجمالي &gt; 24 ساعة.",SUM(C20:G20)), "")</f>
        <v/>
      </c>
      <c r="J20" s="70" t="n">
        <v/>
      </c>
    </row>
    <row r="21" ht="32" customHeight="1" s="44">
      <c r="A21" s="61" t="n">
        <v>46127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46128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46129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46130</v>
      </c>
      <c r="B24" s="76" t="inlineStr">
        <is>
          <t>W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inlineStr">
        <is>
          <t>Weekend</t>
        </is>
      </c>
    </row>
    <row r="25" ht="32" customHeight="1" s="44">
      <c r="A25" s="61" t="n">
        <v>46131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Waleed Al Amari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46132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Saeed Al Zubaidi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46133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Abdullah Aljunaibi</t>
        </is>
      </c>
      <c r="I27" s="28">
        <f>IFERROR(IF(SUM(C27:G27)&gt;24,"إجمالي &gt; 24 ساعة.",SUM(C27:G27)), "")</f>
        <v/>
      </c>
      <c r="J27" s="70" t="n">
        <v/>
      </c>
    </row>
    <row r="28" ht="32" customHeight="1" s="44">
      <c r="A28" s="62" t="n">
        <v>46134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Waleed Al Amari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46135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46136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Abdullah Aljunaibi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46137</v>
      </c>
      <c r="B31" s="76" t="inlineStr">
        <is>
          <t>W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Abdullah Aljunaibi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46138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Abdullah Aljunaibi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46139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Abdullah Aljunaibi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46140</v>
      </c>
      <c r="B34" s="77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Abdullah Aljunaibi</t>
        </is>
      </c>
      <c r="I34" s="34">
        <f>IFERROR(IF(SUM(C34:G34)&gt;24,"إجمالي &gt; 24 ساعة.",SUM(C34:G34)), "")</f>
        <v/>
      </c>
      <c r="J34" s="70" t="n">
        <v/>
      </c>
    </row>
    <row r="35" ht="32" customHeight="1" s="44">
      <c r="A35" s="61" t="n">
        <v>46141</v>
      </c>
      <c r="B35" s="68" t="inlineStr">
        <is>
          <t>P</t>
        </is>
      </c>
      <c r="C35" s="68" t="n">
        <v>8</v>
      </c>
      <c r="D35" s="68" t="n"/>
      <c r="E35" s="68" t="n"/>
      <c r="F35" s="68" t="n"/>
      <c r="G35" s="26">
        <f>IF(B35="SL","SL","")</f>
        <v/>
      </c>
      <c r="H35" s="69" t="inlineStr">
        <is>
          <t>Abdullah Aljunaibi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46142</v>
      </c>
      <c r="B36" s="77" t="inlineStr">
        <is>
          <t>P</t>
        </is>
      </c>
      <c r="C36" s="72" t="n">
        <v>8</v>
      </c>
      <c r="D36" s="74" t="n"/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>
        <v/>
      </c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ادريس عجب كل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>
        <v>1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46116</v>
      </c>
      <c r="B10" s="76" t="inlineStr">
        <is>
          <t>W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inlineStr">
        <is>
          <t>Weekend</t>
        </is>
      </c>
    </row>
    <row r="11" ht="32" customHeight="1" s="44">
      <c r="A11" s="61" t="n">
        <v>46117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inlineStr">
        <is>
          <t>Weekend</t>
        </is>
      </c>
    </row>
    <row r="12" ht="32" customHeight="1" s="44">
      <c r="A12" s="62" t="n">
        <v>46118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46119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46120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46121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46122</v>
      </c>
      <c r="B16" s="71" t="inlineStr">
        <is>
          <t>P</t>
        </is>
      </c>
      <c r="C16" s="72" t="n">
        <v>8</v>
      </c>
      <c r="D16" s="71" t="n">
        <v>1</v>
      </c>
      <c r="E16" s="74" t="n"/>
      <c r="F16" s="74" t="n"/>
      <c r="G16" s="29">
        <f>IF(B16="SL","SL","")</f>
        <v/>
      </c>
      <c r="H16" s="75" t="inlineStr">
        <is>
          <t>Salem Al Zaabi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46123</v>
      </c>
      <c r="B17" s="76" t="inlineStr">
        <is>
          <t>W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inlineStr">
        <is>
          <t>Weekend</t>
        </is>
      </c>
    </row>
    <row r="18" ht="32" customHeight="1" s="44">
      <c r="A18" s="62" t="n">
        <v>46124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Farm 826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46125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Salem Al Zaabi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46126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n">
        <v/>
      </c>
    </row>
    <row r="21" ht="32" customHeight="1" s="44">
      <c r="A21" s="61" t="n">
        <v>46127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46128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46129</v>
      </c>
      <c r="B23" s="68" t="inlineStr">
        <is>
          <t>P</t>
        </is>
      </c>
      <c r="C23" s="68" t="n">
        <v>8</v>
      </c>
      <c r="D23" s="68" t="n">
        <v>1</v>
      </c>
      <c r="E23" s="68" t="n"/>
      <c r="F23" s="68" t="n"/>
      <c r="G23" s="26">
        <f>IF(B23="SL","SL","")</f>
        <v/>
      </c>
      <c r="H23" s="69" t="inlineStr">
        <is>
          <t>Farm 826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46130</v>
      </c>
      <c r="B24" s="76" t="inlineStr">
        <is>
          <t>W</t>
        </is>
      </c>
      <c r="C24" s="72" t="n">
        <v>8</v>
      </c>
      <c r="D24" s="71" t="n"/>
      <c r="E24" s="74" t="n">
        <v>6</v>
      </c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inlineStr">
        <is>
          <t>Weekend تركيب طابوق</t>
        </is>
      </c>
    </row>
    <row r="25" ht="32" customHeight="1" s="44">
      <c r="A25" s="61" t="n">
        <v>46131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46132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Waleed Al Amari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46133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n">
        <v/>
      </c>
    </row>
    <row r="28" ht="32" customHeight="1" s="44">
      <c r="A28" s="62" t="n">
        <v>46134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46135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Waleed Al Amari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46136</v>
      </c>
      <c r="B30" s="71" t="inlineStr">
        <is>
          <t>P</t>
        </is>
      </c>
      <c r="C30" s="72" t="n">
        <v>8</v>
      </c>
      <c r="D30" s="71" t="n">
        <v>1</v>
      </c>
      <c r="E30" s="74" t="n"/>
      <c r="F30" s="74" t="n"/>
      <c r="G30" s="29">
        <f>IF(B30="SL","SL","")</f>
        <v/>
      </c>
      <c r="H30" s="75" t="inlineStr">
        <is>
          <t>Waleed Al Amari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46137</v>
      </c>
      <c r="B31" s="76" t="inlineStr">
        <is>
          <t>W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Waleed Al Amari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46138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Waleed Al Amari</t>
        </is>
      </c>
      <c r="I32" s="34">
        <f>IFERROR(IF(SUM(C32:G32)&gt;24,"إجمالي &gt; 24 ساعة.",SUM(C32:G32)), "")</f>
        <v/>
      </c>
      <c r="J32" s="70" t="inlineStr">
        <is>
          <t>Weekend</t>
        </is>
      </c>
    </row>
    <row r="33" ht="32" customHeight="1" s="44">
      <c r="A33" s="61" t="n">
        <v>46139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Waleed Al Amari</t>
        </is>
      </c>
      <c r="I33" s="28">
        <f>IFERROR(IF(SUM(C33:G33)&gt;24,"إجمالي &gt; 24 ساعة.",SUM(C33:G33)), "")</f>
        <v/>
      </c>
      <c r="J33" s="70" t="inlineStr">
        <is>
          <t>Weekend</t>
        </is>
      </c>
    </row>
    <row r="34" ht="32" customHeight="1" s="44">
      <c r="A34" s="62" t="n">
        <v>46140</v>
      </c>
      <c r="B34" s="77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Abdullah Aljunaibi</t>
        </is>
      </c>
      <c r="I34" s="34">
        <f>IFERROR(IF(SUM(C34:G34)&gt;24,"إجمالي &gt; 24 ساعة.",SUM(C34:G34)), "")</f>
        <v/>
      </c>
      <c r="J34" s="70" t="n">
        <v/>
      </c>
    </row>
    <row r="35" ht="32" customHeight="1" s="44">
      <c r="A35" s="61" t="n">
        <v>46141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46142</v>
      </c>
      <c r="B36" s="77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Abdullah Aljunaibi</t>
        </is>
      </c>
      <c r="I36" s="34">
        <f>IFERROR(IF(SUM(C36:G36)&gt;24,"إجمالي &gt; 24 ساعة.",SUM(C36:G36)), "")</f>
        <v/>
      </c>
      <c r="J36" s="70" t="n">
        <v/>
      </c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 xml:space="preserve"> محمد عويس شير اكبر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>
        <v>1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46116</v>
      </c>
      <c r="B10" s="76" t="inlineStr">
        <is>
          <t>W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inlineStr">
        <is>
          <t>Weekend</t>
        </is>
      </c>
    </row>
    <row r="11" ht="32" customHeight="1" s="44">
      <c r="A11" s="61" t="n">
        <v>46117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46118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Waleed Al Amari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46119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Waleed Al Amari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46120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Waleed Al Amari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46121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46122</v>
      </c>
      <c r="B16" s="71" t="inlineStr">
        <is>
          <t>P</t>
        </is>
      </c>
      <c r="C16" s="72" t="n">
        <v>8</v>
      </c>
      <c r="D16" s="71" t="n">
        <v>1</v>
      </c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46123</v>
      </c>
      <c r="B17" s="76" t="inlineStr">
        <is>
          <t>W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inlineStr">
        <is>
          <t>Weekend</t>
        </is>
      </c>
    </row>
    <row r="18" ht="32" customHeight="1" s="44">
      <c r="A18" s="62" t="n">
        <v>46124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Farm 826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46125</v>
      </c>
      <c r="B19" s="68" t="inlineStr">
        <is>
          <t>P</t>
        </is>
      </c>
      <c r="C19" s="68" t="n">
        <v>8</v>
      </c>
      <c r="D19" s="68" t="n">
        <v>4</v>
      </c>
      <c r="E19" s="68" t="n"/>
      <c r="F19" s="68" t="n"/>
      <c r="G19" s="26">
        <f>IF(B19="SL","SL","")</f>
        <v/>
      </c>
      <c r="H19" s="69" t="inlineStr">
        <is>
          <t>Farm 826</t>
        </is>
      </c>
      <c r="I19" s="28">
        <f>IFERROR(IF(SUM(C19:G19)&gt;24,"إجمالي &gt; 24 ساعة.",SUM(C19:G19)), "")</f>
        <v/>
      </c>
      <c r="J19" s="70" t="inlineStr">
        <is>
          <t>إضافي في الساقية ٢٠</t>
        </is>
      </c>
    </row>
    <row r="20" ht="32" customHeight="1" s="44">
      <c r="A20" s="62" t="n">
        <v>46126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n">
        <v/>
      </c>
    </row>
    <row r="21" ht="32" customHeight="1" s="44">
      <c r="A21" s="61" t="n">
        <v>46127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Saeed Al Zubaidi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46128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Farm 826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46129</v>
      </c>
      <c r="B23" s="68" t="inlineStr">
        <is>
          <t>P</t>
        </is>
      </c>
      <c r="C23" s="68" t="n">
        <v>8</v>
      </c>
      <c r="D23" s="68" t="n">
        <v>1</v>
      </c>
      <c r="E23" s="68" t="n"/>
      <c r="F23" s="68" t="n"/>
      <c r="G23" s="26">
        <f>IF(B23="SL","SL","")</f>
        <v/>
      </c>
      <c r="H23" s="69" t="inlineStr">
        <is>
          <t>Waleed Al Amari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46130</v>
      </c>
      <c r="B24" s="76" t="inlineStr">
        <is>
          <t>W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Farm 826</t>
        </is>
      </c>
      <c r="I24" s="34">
        <f>IFERROR(IF(SUM(C24:G24)&gt;24,"إجمالي &gt; 24 ساعة.",SUM(C24:G24)), "")</f>
        <v/>
      </c>
      <c r="J24" s="70" t="inlineStr">
        <is>
          <t>Weekend</t>
        </is>
      </c>
    </row>
    <row r="25" ht="32" customHeight="1" s="44">
      <c r="A25" s="61" t="n">
        <v>46131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46132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46133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Farm 826</t>
        </is>
      </c>
      <c r="I27" s="28">
        <f>IFERROR(IF(SUM(C27:G27)&gt;24,"إجمالي &gt; 24 ساعة.",SUM(C27:G27)), "")</f>
        <v/>
      </c>
      <c r="J27" s="70" t="n">
        <v/>
      </c>
    </row>
    <row r="28" ht="32" customHeight="1" s="44">
      <c r="A28" s="62" t="n">
        <v>46134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46135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46136</v>
      </c>
      <c r="B30" s="71" t="inlineStr">
        <is>
          <t>P</t>
        </is>
      </c>
      <c r="C30" s="72" t="n">
        <v>8</v>
      </c>
      <c r="D30" s="71" t="n">
        <v>1</v>
      </c>
      <c r="E30" s="74" t="n"/>
      <c r="F30" s="74" t="n"/>
      <c r="G30" s="29">
        <f>IF(B30="SL","SL","")</f>
        <v/>
      </c>
      <c r="H30" s="75" t="inlineStr">
        <is>
          <t>Waleed Al Amari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46137</v>
      </c>
      <c r="B31" s="76" t="inlineStr">
        <is>
          <t>W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Farm 826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46138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Farm 826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46139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Farm 826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46140</v>
      </c>
      <c r="B34" s="77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Abdullah Aljunaibi</t>
        </is>
      </c>
      <c r="I34" s="34">
        <f>IFERROR(IF(SUM(C34:G34)&gt;24,"إجمالي &gt; 24 ساعة.",SUM(C34:G34)), "")</f>
        <v/>
      </c>
      <c r="J34" s="70" t="n">
        <v/>
      </c>
    </row>
    <row r="35" ht="32" customHeight="1" s="44">
      <c r="A35" s="61" t="n">
        <v>46141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46142</v>
      </c>
      <c r="B36" s="77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>
        <v/>
      </c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1000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ميلكامو مولا بيليو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>
        <v>1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46116</v>
      </c>
      <c r="B10" s="76" t="inlineStr">
        <is>
          <t>W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inlineStr">
        <is>
          <t>Weekend</t>
        </is>
      </c>
    </row>
    <row r="11" ht="32" customHeight="1" s="44">
      <c r="A11" s="61" t="n">
        <v>46117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46118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46119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46120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46121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46122</v>
      </c>
      <c r="B16" s="71" t="inlineStr">
        <is>
          <t>P</t>
        </is>
      </c>
      <c r="C16" s="72" t="n">
        <v>8</v>
      </c>
      <c r="D16" s="71" t="n">
        <v>1</v>
      </c>
      <c r="E16" s="74" t="n"/>
      <c r="F16" s="74" t="n"/>
      <c r="G16" s="29">
        <f>IF(B16="SL","SL","")</f>
        <v/>
      </c>
      <c r="H16" s="75" t="inlineStr">
        <is>
          <t>Salem Al Zaabi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46123</v>
      </c>
      <c r="B17" s="76" t="inlineStr">
        <is>
          <t>W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inlineStr">
        <is>
          <t>Weekend</t>
        </is>
      </c>
    </row>
    <row r="18" ht="32" customHeight="1" s="44">
      <c r="A18" s="62" t="n">
        <v>46124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46125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Salem Al Zaabi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46126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n">
        <v/>
      </c>
    </row>
    <row r="21" ht="32" customHeight="1" s="44">
      <c r="A21" s="61" t="n">
        <v>46127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46128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46129</v>
      </c>
      <c r="B23" s="68" t="inlineStr">
        <is>
          <t>P</t>
        </is>
      </c>
      <c r="C23" s="68" t="n">
        <v>8</v>
      </c>
      <c r="D23" s="68" t="n">
        <v>1</v>
      </c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46130</v>
      </c>
      <c r="B24" s="76" t="inlineStr">
        <is>
          <t>W</t>
        </is>
      </c>
      <c r="C24" s="72" t="n">
        <v>8</v>
      </c>
      <c r="D24" s="71" t="n"/>
      <c r="E24" s="74" t="n">
        <v>6</v>
      </c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inlineStr">
        <is>
          <t xml:space="preserve">Weekend تركيب طابوق </t>
        </is>
      </c>
    </row>
    <row r="25" ht="32" customHeight="1" s="44">
      <c r="A25" s="61" t="n">
        <v>46131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46132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Salem Al Zaabi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46133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n">
        <v/>
      </c>
    </row>
    <row r="28" ht="32" customHeight="1" s="44">
      <c r="A28" s="62" t="n">
        <v>46134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46135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46136</v>
      </c>
      <c r="B30" s="71" t="inlineStr">
        <is>
          <t>P</t>
        </is>
      </c>
      <c r="C30" s="72" t="n">
        <v>8</v>
      </c>
      <c r="D30" s="71" t="n">
        <v>1</v>
      </c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46137</v>
      </c>
      <c r="B31" s="76" t="inlineStr">
        <is>
          <t>W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46138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46139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46140</v>
      </c>
      <c r="B34" s="77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n">
        <v/>
      </c>
    </row>
    <row r="35" ht="32" customHeight="1" s="44">
      <c r="A35" s="61" t="n">
        <v>46141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46142</v>
      </c>
      <c r="B36" s="77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Abdullah Aljunaibi</t>
        </is>
      </c>
      <c r="I36" s="34">
        <f>IFERROR(IF(SUM(C36:G36)&gt;24,"إجمالي &gt; 24 ساعة.",SUM(C36:G36)), "")</f>
        <v/>
      </c>
      <c r="J36" s="70" t="n">
        <v/>
      </c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1000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امارى ميسقى وبيتو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Abdullah Aljunaibi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>
        <v>1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46116</v>
      </c>
      <c r="B10" s="76" t="inlineStr">
        <is>
          <t>W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inlineStr">
        <is>
          <t>Weekend</t>
        </is>
      </c>
    </row>
    <row r="11" ht="32" customHeight="1" s="44">
      <c r="A11" s="61" t="n">
        <v>46117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Faya 334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46118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46119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Saeed Al Zubaidi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46120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Saeed Al Zubaidi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46121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Waleed Al Amari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46122</v>
      </c>
      <c r="B16" s="71" t="inlineStr">
        <is>
          <t>P</t>
        </is>
      </c>
      <c r="C16" s="72" t="n">
        <v>8</v>
      </c>
      <c r="D16" s="71" t="n">
        <v>1</v>
      </c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46123</v>
      </c>
      <c r="B17" s="76" t="inlineStr">
        <is>
          <t>W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inlineStr">
        <is>
          <t>Weekend</t>
        </is>
      </c>
    </row>
    <row r="18" ht="32" customHeight="1" s="44">
      <c r="A18" s="62" t="n">
        <v>46124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Saeed Al Zubaidi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46125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46126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Abdullah Aljunaibi</t>
        </is>
      </c>
      <c r="I20" s="34">
        <f>IFERROR(IF(SUM(C20:G20)&gt;24,"إجمالي &gt; 24 ساعة.",SUM(C20:G20)), "")</f>
        <v/>
      </c>
      <c r="J20" s="70" t="n">
        <v/>
      </c>
    </row>
    <row r="21" ht="32" customHeight="1" s="44">
      <c r="A21" s="61" t="n">
        <v>46127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46128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46129</v>
      </c>
      <c r="B23" s="68" t="inlineStr">
        <is>
          <t>P</t>
        </is>
      </c>
      <c r="C23" s="68" t="n">
        <v>8</v>
      </c>
      <c r="D23" s="68" t="n">
        <v>1</v>
      </c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46130</v>
      </c>
      <c r="B24" s="76" t="inlineStr">
        <is>
          <t>W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inlineStr">
        <is>
          <t>Weekend</t>
        </is>
      </c>
    </row>
    <row r="25" ht="32" customHeight="1" s="44">
      <c r="A25" s="61" t="n">
        <v>46131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46132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Abdullah Aljunaibi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46133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Abdullah Aljunaibi</t>
        </is>
      </c>
      <c r="I27" s="28">
        <f>IFERROR(IF(SUM(C27:G27)&gt;24,"إجمالي &gt; 24 ساعة.",SUM(C27:G27)), "")</f>
        <v/>
      </c>
      <c r="J27" s="70" t="n">
        <v/>
      </c>
    </row>
    <row r="28" ht="32" customHeight="1" s="44">
      <c r="A28" s="62" t="n">
        <v>46134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Waleed Al Amari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46135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46136</v>
      </c>
      <c r="B30" s="71" t="inlineStr">
        <is>
          <t>P</t>
        </is>
      </c>
      <c r="C30" s="72" t="n">
        <v>8</v>
      </c>
      <c r="D30" s="71" t="n">
        <v>1</v>
      </c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46137</v>
      </c>
      <c r="B31" s="76" t="inlineStr">
        <is>
          <t>W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Abdullah Aljunaibi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46138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Abdullah Aljunaibi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46139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Abdullah Aljunaibi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46140</v>
      </c>
      <c r="B34" s="77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Abdullah Aljunaibi</t>
        </is>
      </c>
      <c r="I34" s="34">
        <f>IFERROR(IF(SUM(C34:G34)&gt;24,"إجمالي &gt; 24 ساعة.",SUM(C34:G34)), "")</f>
        <v/>
      </c>
      <c r="J34" s="70" t="n">
        <v/>
      </c>
    </row>
    <row r="35" ht="32" customHeight="1" s="44">
      <c r="A35" s="61" t="n">
        <v>46141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Abdullah Aljunaibi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46142</v>
      </c>
      <c r="B36" s="77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Abdullah Aljunaibi</t>
        </is>
      </c>
      <c r="I36" s="34">
        <f>IFERROR(IF(SUM(C36:G36)&gt;24,"إجمالي &gt; 24 ساعة.",SUM(C36:G36)), "")</f>
        <v/>
      </c>
      <c r="J36" s="70" t="n">
        <v/>
      </c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1000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ابابو موجيس نيجيس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Abdullah Aljunaibi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>
        <v>1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46116</v>
      </c>
      <c r="B10" s="76" t="inlineStr">
        <is>
          <t>W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inlineStr">
        <is>
          <t>Weekend</t>
        </is>
      </c>
    </row>
    <row r="11" ht="32" customHeight="1" s="44">
      <c r="A11" s="61" t="n">
        <v>46117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Faya 334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46118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46119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Saeed Al Zubaidi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46120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Saeed Al Zubaidi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46121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Waleed Al Amari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46122</v>
      </c>
      <c r="B16" s="71" t="inlineStr">
        <is>
          <t>P</t>
        </is>
      </c>
      <c r="C16" s="72" t="n">
        <v>8</v>
      </c>
      <c r="D16" s="71" t="n">
        <v>1</v>
      </c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46123</v>
      </c>
      <c r="B17" s="76" t="inlineStr">
        <is>
          <t>W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inlineStr">
        <is>
          <t>Weekend</t>
        </is>
      </c>
    </row>
    <row r="18" ht="32" customHeight="1" s="44">
      <c r="A18" s="62" t="n">
        <v>46124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Saeed Al Zubaidi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46125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46126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Abdullah Aljunaibi</t>
        </is>
      </c>
      <c r="I20" s="34">
        <f>IFERROR(IF(SUM(C20:G20)&gt;24,"إجمالي &gt; 24 ساعة.",SUM(C20:G20)), "")</f>
        <v/>
      </c>
      <c r="J20" s="70" t="n">
        <v/>
      </c>
    </row>
    <row r="21" ht="32" customHeight="1" s="44">
      <c r="A21" s="61" t="n">
        <v>46127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46128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46129</v>
      </c>
      <c r="B23" s="68" t="inlineStr">
        <is>
          <t>P</t>
        </is>
      </c>
      <c r="C23" s="68" t="n">
        <v>8</v>
      </c>
      <c r="D23" s="68" t="n">
        <v>1</v>
      </c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46130</v>
      </c>
      <c r="B24" s="76" t="inlineStr">
        <is>
          <t>W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inlineStr">
        <is>
          <t>Weekend</t>
        </is>
      </c>
    </row>
    <row r="25" ht="32" customHeight="1" s="44">
      <c r="A25" s="61" t="n">
        <v>46131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Waleed Al Amari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46132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Saeed Al Zubaidi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46133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Saeed Al Zubaidi</t>
        </is>
      </c>
      <c r="I27" s="28">
        <f>IFERROR(IF(SUM(C27:G27)&gt;24,"إجمالي &gt; 24 ساعة.",SUM(C27:G27)), "")</f>
        <v/>
      </c>
      <c r="J27" s="70" t="n">
        <v/>
      </c>
    </row>
    <row r="28" ht="32" customHeight="1" s="44">
      <c r="A28" s="62" t="n">
        <v>46134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46135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46136</v>
      </c>
      <c r="B30" s="71" t="inlineStr">
        <is>
          <t>P</t>
        </is>
      </c>
      <c r="C30" s="72" t="n">
        <v>8</v>
      </c>
      <c r="D30" s="71" t="n">
        <v>1</v>
      </c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46137</v>
      </c>
      <c r="B31" s="76" t="inlineStr">
        <is>
          <t>W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Abdullah Aljunaibi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46138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Abdullah Aljunaibi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46139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Abdullah Aljunaibi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46140</v>
      </c>
      <c r="B34" s="77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Abdullah Aljunaibi</t>
        </is>
      </c>
      <c r="I34" s="34">
        <f>IFERROR(IF(SUM(C34:G34)&gt;24,"إجمالي &gt; 24 ساعة.",SUM(C34:G34)), "")</f>
        <v/>
      </c>
      <c r="J34" s="70" t="n">
        <v/>
      </c>
    </row>
    <row r="35" ht="32" customHeight="1" s="44">
      <c r="A35" s="61" t="n">
        <v>46141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Abdullah Aljunaibi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46142</v>
      </c>
      <c r="B36" s="77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>
        <v/>
      </c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1100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باجر انجلال شارهان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Waleed Al Amari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Waleed Al Amari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>
        <v>1</v>
      </c>
      <c r="E9" s="68" t="n"/>
      <c r="F9" s="68" t="n"/>
      <c r="G9" s="26">
        <f>IF(B9="SL","SL","")</f>
        <v/>
      </c>
      <c r="H9" s="69" t="inlineStr">
        <is>
          <t>Abdullah Aljunaibi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46116</v>
      </c>
      <c r="B10" s="76" t="inlineStr">
        <is>
          <t>W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Waleed Al Amari</t>
        </is>
      </c>
      <c r="I10" s="34">
        <f>IFERROR(IF(SUM(C10:G10)&gt;24,"إجمالي &gt; 24 ساعة.",SUM(C10:G10)), "")</f>
        <v/>
      </c>
      <c r="J10" s="70" t="inlineStr">
        <is>
          <t>Weekend</t>
        </is>
      </c>
    </row>
    <row r="11" ht="32" customHeight="1" s="44">
      <c r="A11" s="61" t="n">
        <v>46117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Abdullah Aljunaibi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46118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Abdullah Aljunaibi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46119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46120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46121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46122</v>
      </c>
      <c r="B16" s="71" t="inlineStr">
        <is>
          <t>P</t>
        </is>
      </c>
      <c r="C16" s="72" t="n">
        <v>8</v>
      </c>
      <c r="D16" s="71" t="n">
        <v>1</v>
      </c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46123</v>
      </c>
      <c r="B17" s="76" t="inlineStr">
        <is>
          <t>W</t>
        </is>
      </c>
      <c r="C17" s="68" t="n">
        <v>8</v>
      </c>
      <c r="D17" s="68" t="n">
        <v>6</v>
      </c>
      <c r="E17" s="68" t="n"/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inlineStr">
        <is>
          <t>Weekend تشوين طابوق</t>
        </is>
      </c>
    </row>
    <row r="18" ht="32" customHeight="1" s="44">
      <c r="A18" s="62" t="n">
        <v>46124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46125</v>
      </c>
      <c r="B19" s="68" t="inlineStr">
        <is>
          <t>P</t>
        </is>
      </c>
      <c r="C19" s="68" t="n">
        <v>8</v>
      </c>
      <c r="D19" s="68" t="n">
        <v>4</v>
      </c>
      <c r="E19" s="68" t="n"/>
      <c r="F19" s="68" t="n"/>
      <c r="G19" s="26">
        <f>IF(B19="SL","SL","")</f>
        <v/>
      </c>
      <c r="H19" s="69" t="inlineStr">
        <is>
          <t>Farm 826</t>
        </is>
      </c>
      <c r="I19" s="28">
        <f>IFERROR(IF(SUM(C19:G19)&gt;24,"إجمالي &gt; 24 ساعة.",SUM(C19:G19)), "")</f>
        <v/>
      </c>
      <c r="J19" s="70" t="inlineStr">
        <is>
          <t>إضافي في الساقية ٢٠</t>
        </is>
      </c>
    </row>
    <row r="20" ht="32" customHeight="1" s="44">
      <c r="A20" s="62" t="n">
        <v>46126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Waleed Al Amari</t>
        </is>
      </c>
      <c r="I20" s="34">
        <f>IFERROR(IF(SUM(C20:G20)&gt;24,"إجمالي &gt; 24 ساعة.",SUM(C20:G20)), "")</f>
        <v/>
      </c>
      <c r="J20" s="70" t="n">
        <v/>
      </c>
    </row>
    <row r="21" ht="32" customHeight="1" s="44">
      <c r="A21" s="61" t="n">
        <v>46127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Waleed Al Amari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46128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Abdullah Aljunaibi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46129</v>
      </c>
      <c r="B23" s="68" t="inlineStr">
        <is>
          <t>P</t>
        </is>
      </c>
      <c r="C23" s="68" t="n">
        <v>8</v>
      </c>
      <c r="D23" s="68" t="n">
        <v>1</v>
      </c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46130</v>
      </c>
      <c r="B24" s="76" t="inlineStr">
        <is>
          <t>W</t>
        </is>
      </c>
      <c r="C24" s="72" t="n">
        <v>8</v>
      </c>
      <c r="D24" s="71" t="n"/>
      <c r="E24" s="74" t="n">
        <v>6</v>
      </c>
      <c r="F24" s="74" t="n"/>
      <c r="G24" s="29">
        <f>IF(B24="SL","SL","")</f>
        <v/>
      </c>
      <c r="H24" s="75" t="inlineStr">
        <is>
          <t>Waleed Al Amari</t>
        </is>
      </c>
      <c r="I24" s="34">
        <f>IFERROR(IF(SUM(C24:G24)&gt;24,"إجمالي &gt; 24 ساعة.",SUM(C24:G24)), "")</f>
        <v/>
      </c>
      <c r="J24" s="70" t="inlineStr">
        <is>
          <t>Weekend  صب سقف الطابق الاول يوم ١٥/٤</t>
        </is>
      </c>
    </row>
    <row r="25" ht="32" customHeight="1" s="44">
      <c r="A25" s="61" t="n">
        <v>46131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46132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Abdullah Aljunaibi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46133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Abdullah Aljunaibi</t>
        </is>
      </c>
      <c r="I27" s="28">
        <f>IFERROR(IF(SUM(C27:G27)&gt;24,"إجمالي &gt; 24 ساعة.",SUM(C27:G27)), "")</f>
        <v/>
      </c>
      <c r="J27" s="70" t="n">
        <v/>
      </c>
    </row>
    <row r="28" ht="32" customHeight="1" s="44">
      <c r="A28" s="62" t="n">
        <v>46134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46135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Waleed Al Amari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46136</v>
      </c>
      <c r="B30" s="71" t="inlineStr">
        <is>
          <t>P</t>
        </is>
      </c>
      <c r="C30" s="72" t="n">
        <v>8</v>
      </c>
      <c r="D30" s="71" t="n">
        <v>1</v>
      </c>
      <c r="E30" s="74" t="n"/>
      <c r="F30" s="74" t="n"/>
      <c r="G30" s="29">
        <f>IF(B30="SL","SL","")</f>
        <v/>
      </c>
      <c r="H30" s="75" t="inlineStr">
        <is>
          <t>Abdullah Aljunaibi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46137</v>
      </c>
      <c r="B31" s="76" t="inlineStr">
        <is>
          <t>W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Abdullah Aljunaibi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46138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Abdullah Aljunaibi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46139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Farm 826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46140</v>
      </c>
      <c r="B34" s="77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Waleed Al Amari</t>
        </is>
      </c>
      <c r="I34" s="34">
        <f>IFERROR(IF(SUM(C34:G34)&gt;24,"إجمالي &gt; 24 ساعة.",SUM(C34:G34)), "")</f>
        <v/>
      </c>
      <c r="J34" s="70" t="n">
        <v/>
      </c>
    </row>
    <row r="35" ht="32" customHeight="1" s="44">
      <c r="A35" s="61" t="n">
        <v>46141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Abdullah Aljunaibi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46142</v>
      </c>
      <c r="B36" s="77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Abdullah Aljunaibi</t>
        </is>
      </c>
      <c r="I36" s="34">
        <f>IFERROR(IF(SUM(C36:G36)&gt;24,"إجمالي &gt; 24 ساعة.",SUM(C36:G36)), "")</f>
        <v/>
      </c>
      <c r="J36" s="70" t="n">
        <v/>
      </c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46113</v>
      </c>
      <c r="G2" s="55" t="n"/>
      <c r="H2" s="3" t="inlineStr">
        <is>
          <t>الراتب الاساسي :</t>
        </is>
      </c>
      <c r="I2" s="4" t="inlineStr">
        <is>
          <t>1000</t>
        </is>
      </c>
    </row>
    <row r="3" ht="35.4" customHeight="1" s="44">
      <c r="E3" s="1" t="inlineStr">
        <is>
          <t>نهاية الشهر</t>
        </is>
      </c>
      <c r="F3" s="2" t="n">
        <v>46142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 xml:space="preserve"> كليم الله شيرال</t>
        </is>
      </c>
      <c r="E4" s="3" t="inlineStr">
        <is>
          <t>الشهر</t>
        </is>
      </c>
      <c r="F4" s="25" t="inlineStr">
        <is>
          <t>April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46113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46114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46115</v>
      </c>
      <c r="B9" s="68" t="inlineStr">
        <is>
          <t>P</t>
        </is>
      </c>
      <c r="C9" s="68" t="n">
        <v>8</v>
      </c>
      <c r="D9" s="68" t="n">
        <v>1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inlineStr">
        <is>
          <t>Weekend</t>
        </is>
      </c>
    </row>
    <row r="10" ht="32" customHeight="1" s="44">
      <c r="A10" s="62" t="n">
        <v>46116</v>
      </c>
      <c r="B10" s="76" t="inlineStr">
        <is>
          <t>W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inlineStr">
        <is>
          <t>Weekend</t>
        </is>
      </c>
    </row>
    <row r="11" ht="32" customHeight="1" s="44">
      <c r="A11" s="61" t="n">
        <v>46117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46118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Waleed Al Amari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46119</v>
      </c>
      <c r="B13" s="68" t="inlineStr">
        <is>
          <t>P</t>
        </is>
      </c>
      <c r="C13" s="68" t="n">
        <v>8</v>
      </c>
      <c r="D13" s="68" t="n">
        <v>2</v>
      </c>
      <c r="E13" s="68" t="n"/>
      <c r="F13" s="68" t="n"/>
      <c r="G13" s="26">
        <f>IF(B13="SL","SL","")</f>
        <v/>
      </c>
      <c r="H13" s="69" t="inlineStr">
        <is>
          <t>Waleed Al Amari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46120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Waleed Al Amari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46121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46122</v>
      </c>
      <c r="B16" s="71" t="inlineStr">
        <is>
          <t>P</t>
        </is>
      </c>
      <c r="C16" s="72" t="n">
        <v>8</v>
      </c>
      <c r="D16" s="71" t="n">
        <v>1</v>
      </c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46123</v>
      </c>
      <c r="B17" s="76" t="inlineStr">
        <is>
          <t>W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inlineStr">
        <is>
          <t>Weekend</t>
        </is>
      </c>
    </row>
    <row r="18" ht="32" customHeight="1" s="44">
      <c r="A18" s="62" t="n">
        <v>46124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Farm 826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46125</v>
      </c>
      <c r="B19" s="68" t="inlineStr">
        <is>
          <t>P</t>
        </is>
      </c>
      <c r="C19" s="68" t="n">
        <v>8</v>
      </c>
      <c r="D19" s="68" t="n">
        <v>2</v>
      </c>
      <c r="E19" s="68" t="n"/>
      <c r="F19" s="68" t="n"/>
      <c r="G19" s="26">
        <f>IF(B19="SL","SL","")</f>
        <v/>
      </c>
      <c r="H19" s="69" t="inlineStr">
        <is>
          <t>Waleed Al Amari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46126</v>
      </c>
      <c r="B20" s="71" t="inlineStr">
        <is>
          <t>P</t>
        </is>
      </c>
      <c r="C20" s="72" t="n">
        <v>8</v>
      </c>
      <c r="D20" s="71" t="n">
        <v>2</v>
      </c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n">
        <v/>
      </c>
    </row>
    <row r="21" ht="32" customHeight="1" s="44">
      <c r="A21" s="61" t="n">
        <v>46127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Saeed Al Zubaidi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46128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Farm 826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46129</v>
      </c>
      <c r="B23" s="68" t="inlineStr">
        <is>
          <t>P</t>
        </is>
      </c>
      <c r="C23" s="68" t="n">
        <v>8</v>
      </c>
      <c r="D23" s="68" t="n">
        <v>1</v>
      </c>
      <c r="E23" s="68" t="n"/>
      <c r="F23" s="68" t="n"/>
      <c r="G23" s="26">
        <f>IF(B23="SL","SL","")</f>
        <v/>
      </c>
      <c r="H23" s="69" t="inlineStr">
        <is>
          <t>Waleed Al Amari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46130</v>
      </c>
      <c r="B24" s="76" t="inlineStr">
        <is>
          <t>W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Farm 826</t>
        </is>
      </c>
      <c r="I24" s="34">
        <f>IFERROR(IF(SUM(C24:G24)&gt;24,"إجمالي &gt; 24 ساعة.",SUM(C24:G24)), "")</f>
        <v/>
      </c>
      <c r="J24" s="70" t="inlineStr">
        <is>
          <t>Weekend</t>
        </is>
      </c>
    </row>
    <row r="25" ht="32" customHeight="1" s="44">
      <c r="A25" s="61" t="n">
        <v>46131</v>
      </c>
      <c r="B25" s="68" t="inlineStr">
        <is>
          <t>P</t>
        </is>
      </c>
      <c r="C25" s="68" t="n">
        <v>8</v>
      </c>
      <c r="D25" s="68" t="n">
        <v>2</v>
      </c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46132</v>
      </c>
      <c r="B26" s="71" t="inlineStr">
        <is>
          <t>P</t>
        </is>
      </c>
      <c r="C26" s="72" t="n">
        <v>8</v>
      </c>
      <c r="D26" s="71" t="n">
        <v>2</v>
      </c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46133</v>
      </c>
      <c r="B27" s="68" t="inlineStr">
        <is>
          <t>P</t>
        </is>
      </c>
      <c r="C27" s="68" t="n">
        <v>8</v>
      </c>
      <c r="D27" s="68" t="n">
        <v>2</v>
      </c>
      <c r="E27" s="68" t="n"/>
      <c r="F27" s="68" t="n"/>
      <c r="G27" s="26">
        <f>IF(B27="SL","SL","")</f>
        <v/>
      </c>
      <c r="H27" s="69" t="inlineStr">
        <is>
          <t>Farm 826</t>
        </is>
      </c>
      <c r="I27" s="28">
        <f>IFERROR(IF(SUM(C27:G27)&gt;24,"إجمالي &gt; 24 ساعة.",SUM(C27:G27)), "")</f>
        <v/>
      </c>
      <c r="J27" s="70" t="n">
        <v/>
      </c>
    </row>
    <row r="28" ht="32" customHeight="1" s="44">
      <c r="A28" s="62" t="n">
        <v>46134</v>
      </c>
      <c r="B28" s="71" t="inlineStr">
        <is>
          <t>P</t>
        </is>
      </c>
      <c r="C28" s="72" t="n">
        <v>8</v>
      </c>
      <c r="D28" s="71" t="n">
        <v>2</v>
      </c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46135</v>
      </c>
      <c r="B29" s="68" t="inlineStr">
        <is>
          <t>P</t>
        </is>
      </c>
      <c r="C29" s="68" t="n">
        <v>8</v>
      </c>
      <c r="D29" s="68" t="n">
        <v>2</v>
      </c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46136</v>
      </c>
      <c r="B30" s="71" t="inlineStr">
        <is>
          <t>P</t>
        </is>
      </c>
      <c r="C30" s="72" t="n">
        <v>8</v>
      </c>
      <c r="D30" s="71" t="n">
        <v>1</v>
      </c>
      <c r="E30" s="74" t="n"/>
      <c r="F30" s="74" t="n"/>
      <c r="G30" s="29">
        <f>IF(B30="SL","SL","")</f>
        <v/>
      </c>
      <c r="H30" s="75" t="inlineStr">
        <is>
          <t>Waleed Al Amari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46137</v>
      </c>
      <c r="B31" s="76" t="inlineStr">
        <is>
          <t>W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Farm 826</t>
        </is>
      </c>
      <c r="I31" s="28">
        <f>IFERROR(IF(SUM(C31:G31)&gt;24,"إجمالي &gt; 24 ساعة.",SUM(C31:G31)), "")</f>
        <v/>
      </c>
      <c r="J31" s="70" t="inlineStr">
        <is>
          <t>Weekend</t>
        </is>
      </c>
    </row>
    <row r="32" ht="32" customHeight="1" s="44">
      <c r="A32" s="62" t="n">
        <v>46138</v>
      </c>
      <c r="B32" s="71" t="inlineStr">
        <is>
          <t>P</t>
        </is>
      </c>
      <c r="C32" s="72" t="n">
        <v>8</v>
      </c>
      <c r="D32" s="71" t="n">
        <v>2</v>
      </c>
      <c r="E32" s="74" t="n"/>
      <c r="F32" s="74" t="n"/>
      <c r="G32" s="29">
        <f>IF(B32="SL","SL","")</f>
        <v/>
      </c>
      <c r="H32" s="75" t="inlineStr">
        <is>
          <t>Waleed Al Amari</t>
        </is>
      </c>
      <c r="I32" s="34">
        <f>IFERROR(IF(SUM(C32:G32)&gt;24,"إجمالي &gt; 24 ساعة.",SUM(C32:G32)), "")</f>
        <v/>
      </c>
      <c r="J32" s="70" t="inlineStr">
        <is>
          <t>Weekend</t>
        </is>
      </c>
    </row>
    <row r="33" ht="32" customHeight="1" s="44">
      <c r="A33" s="61" t="n">
        <v>46139</v>
      </c>
      <c r="B33" s="68" t="inlineStr">
        <is>
          <t>P</t>
        </is>
      </c>
      <c r="C33" s="68" t="n">
        <v>8</v>
      </c>
      <c r="D33" s="68" t="n">
        <v>2</v>
      </c>
      <c r="E33" s="68" t="n"/>
      <c r="F33" s="68" t="n"/>
      <c r="G33" s="26">
        <f>IF(B33="SL","SL","")</f>
        <v/>
      </c>
      <c r="H33" s="69" t="inlineStr">
        <is>
          <t>Waleed Al Amari</t>
        </is>
      </c>
      <c r="I33" s="28">
        <f>IFERROR(IF(SUM(C33:G33)&gt;24,"إجمالي &gt; 24 ساعة.",SUM(C33:G33)), "")</f>
        <v/>
      </c>
      <c r="J33" s="70" t="inlineStr">
        <is>
          <t>Weekend</t>
        </is>
      </c>
    </row>
    <row r="34" ht="32" customHeight="1" s="44">
      <c r="A34" s="62" t="n">
        <v>46140</v>
      </c>
      <c r="B34" s="77" t="inlineStr">
        <is>
          <t>P</t>
        </is>
      </c>
      <c r="C34" s="72" t="n">
        <v>8</v>
      </c>
      <c r="D34" s="74" t="n">
        <v>2</v>
      </c>
      <c r="E34" s="74" t="n"/>
      <c r="F34" s="74" t="n"/>
      <c r="G34" s="29">
        <f>IF(B34="SL","SL","")</f>
        <v/>
      </c>
      <c r="H34" s="75" t="inlineStr">
        <is>
          <t>Abdullah Aljunaibi</t>
        </is>
      </c>
      <c r="I34" s="34">
        <f>IFERROR(IF(SUM(C34:G34)&gt;24,"إجمالي &gt; 24 ساعة.",SUM(C34:G34)), "")</f>
        <v/>
      </c>
      <c r="J34" s="70" t="n">
        <v/>
      </c>
    </row>
    <row r="35" ht="32" customHeight="1" s="44">
      <c r="A35" s="61" t="n">
        <v>46141</v>
      </c>
      <c r="B35" s="68" t="inlineStr">
        <is>
          <t>P</t>
        </is>
      </c>
      <c r="C35" s="68" t="n">
        <v>8</v>
      </c>
      <c r="D35" s="68" t="n">
        <v>2</v>
      </c>
      <c r="E35" s="68" t="n"/>
      <c r="F35" s="68" t="n"/>
      <c r="G35" s="26">
        <f>IF(B35="SL","SL","")</f>
        <v/>
      </c>
      <c r="H35" s="69" t="inlineStr">
        <is>
          <t>Salem Al Zaabi</t>
        </is>
      </c>
      <c r="I35" s="28">
        <f>IFERROR(IF(SUM(C35:G35)&gt;24,"إجمالي &gt; 24 ساعة.",SUM(C35:G35)), "")</f>
        <v/>
      </c>
      <c r="J35" s="70" t="n">
        <v/>
      </c>
    </row>
    <row r="36" ht="32" customHeight="1" s="44">
      <c r="A36" s="62" t="n">
        <v>46142</v>
      </c>
      <c r="B36" s="77" t="inlineStr">
        <is>
          <t>P</t>
        </is>
      </c>
      <c r="C36" s="72" t="n">
        <v>8</v>
      </c>
      <c r="D36" s="74" t="n">
        <v>2</v>
      </c>
      <c r="E36" s="74" t="n"/>
      <c r="F36" s="74" t="n"/>
      <c r="G36" s="29" t="n"/>
      <c r="H36" s="75" t="inlineStr">
        <is>
          <t>Salem Al Zaabi</t>
        </is>
      </c>
      <c r="I36" s="34">
        <f>IFERROR(IF(SUM(C36:G36)&gt;24,"إجمالي &gt; 24 ساعة.",SUM(C36:G36)), "")</f>
        <v/>
      </c>
      <c r="J36" s="70" t="n">
        <v/>
      </c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8" t="n"/>
    </row>
    <row r="38" ht="30" customHeight="1" s="44">
      <c r="A38" s="54" t="inlineStr">
        <is>
          <t>إجمالي عدد الساعات :</t>
        </is>
      </c>
      <c r="B38" s="79" t="n"/>
      <c r="C38" s="80">
        <f>SUM(C7:C37) -  (COUNTIF(B7:B37, "AWO") * 8)</f>
        <v/>
      </c>
      <c r="D38" s="81">
        <f>IFERROR(SUM(D7:D37), "")</f>
        <v/>
      </c>
      <c r="E38" s="81">
        <f>IFERROR(SUM(E7:E37), "")</f>
        <v/>
      </c>
      <c r="F38" s="81">
        <f>IFERROR(SUM(F7:F37), "")</f>
        <v/>
      </c>
      <c r="G38" s="13" t="n"/>
      <c r="H38" s="82" t="n"/>
      <c r="I38" s="32" t="inlineStr">
        <is>
          <t>الملاحظات :</t>
        </is>
      </c>
      <c r="J38" s="83" t="n"/>
    </row>
    <row r="39" ht="30" customHeight="1" s="44">
      <c r="A39" s="54" t="inlineStr">
        <is>
          <t>إجمالي عدد ايام الدوام :</t>
        </is>
      </c>
      <c r="B39" s="79" t="n"/>
      <c r="C39" s="84">
        <f>COUNTIF(B7:B37, "P") + COUNTIF(B7:B37, "W") + COUNTIF(B7:B37, "H") + COUNTIF(B7:B37, "A") + COUNTIF(B7:B37, "AWO")-C40</f>
        <v/>
      </c>
      <c r="D39" s="84" t="n"/>
      <c r="E39" s="84" t="n"/>
      <c r="F39" s="84" t="n"/>
      <c r="G39" s="35" t="inlineStr">
        <is>
          <t>الاجازات المرضية</t>
        </is>
      </c>
      <c r="H39" s="85">
        <f>COUNTIF(B7:B37,"sl")</f>
        <v/>
      </c>
      <c r="I39" s="46">
        <f>COUNTIFS(G7:G37, "SL", G7:G37, "&lt;=3")</f>
        <v/>
      </c>
      <c r="J39" s="83" t="n"/>
    </row>
    <row r="40" ht="37.2" customHeight="1" s="44">
      <c r="A40" s="54" t="inlineStr">
        <is>
          <t>إجمالي عدد ايام الغياب :</t>
        </is>
      </c>
      <c r="B40" s="79" t="n"/>
      <c r="C40" s="84">
        <f>COUNTIF(B7:B37,"A")+COUNTIF(B7:B37,"AWO")*2</f>
        <v/>
      </c>
      <c r="D40" s="84" t="n"/>
      <c r="E40" s="84" t="n"/>
      <c r="F40" s="84" t="n"/>
      <c r="G40" s="33" t="inlineStr">
        <is>
          <t>قيمة الخصم الاضافي</t>
        </is>
      </c>
      <c r="H40" s="86" t="n">
        <v>0</v>
      </c>
      <c r="I40" s="47" t="n"/>
      <c r="J40" s="83" t="n"/>
    </row>
    <row r="41" ht="37.2" customHeight="1" s="44">
      <c r="A41" s="54" t="inlineStr">
        <is>
          <t>قيمة الخصم :</t>
        </is>
      </c>
      <c r="B41" s="79" t="n"/>
      <c r="C41" s="87">
        <f>COUNTIF(B7:B37,"AWO") * 2 * I3 +COUNTIF(B7:B37, "A") * I3</f>
        <v/>
      </c>
      <c r="D41" s="84" t="n"/>
      <c r="E41" s="84" t="n"/>
      <c r="F41" s="88" t="n"/>
      <c r="G41" s="35" t="inlineStr">
        <is>
          <t>مجموع الخصم :</t>
        </is>
      </c>
      <c r="H41" s="86">
        <f>SUM(C41+H40)</f>
        <v/>
      </c>
      <c r="I41" s="48" t="n"/>
      <c r="J41" s="83" t="n"/>
    </row>
    <row r="42" ht="37.2" customHeight="1" s="44">
      <c r="A42" s="54" t="inlineStr">
        <is>
          <t>إجمالي الأجر بعد الخصم :</t>
        </is>
      </c>
      <c r="B42" s="79" t="n"/>
      <c r="C42" s="89">
        <f>IF(F4&lt;&gt;"", I2/(DAY(EOMONTH(F2,0))*8)*C38, "")</f>
        <v/>
      </c>
      <c r="D42" s="89">
        <f>IFERROR(I2/(DAY(EOMONTH(F2,0))*8)*1.25*D38, "")</f>
        <v/>
      </c>
      <c r="E42" s="89">
        <f>IFERROR(I2/(DAY(EOMONTH(F2,0))*8)*1.5*E38, "")</f>
        <v/>
      </c>
      <c r="F42" s="89">
        <f>IFERROR(I2/(DAY(EOMONTH(F2,0))*8)*2.5*F38, "")</f>
        <v/>
      </c>
      <c r="G42" s="66" t="inlineStr">
        <is>
          <t>: الإجمالي</t>
        </is>
      </c>
      <c r="H42" s="79" t="n"/>
      <c r="I42" s="67">
        <f>IFERROR(SUM(C42:F42), "") - H40</f>
        <v/>
      </c>
      <c r="J42" s="83" t="n"/>
    </row>
    <row r="43" ht="34.2" customHeight="1" s="44">
      <c r="A43" s="17" t="inlineStr">
        <is>
          <t xml:space="preserve">التاريخ : </t>
        </is>
      </c>
      <c r="B43" s="90">
        <f>TODAY()</f>
        <v/>
      </c>
      <c r="C43" s="91" t="n"/>
      <c r="D43" s="92" t="inlineStr">
        <is>
          <t xml:space="preserve">توقيع الموظف : </t>
        </is>
      </c>
      <c r="E43" s="92" t="n"/>
      <c r="F43" s="92" t="n"/>
      <c r="G43" s="23" t="inlineStr">
        <is>
          <t xml:space="preserve">توقيع المدير : </t>
        </is>
      </c>
      <c r="H43" s="93" t="n"/>
      <c r="I43" s="18" t="n"/>
      <c r="J43" s="83" t="n"/>
    </row>
    <row r="44">
      <c r="A44" s="19" t="n"/>
      <c r="B44" s="94" t="n"/>
      <c r="C44" s="94" t="n"/>
      <c r="D44" s="94" t="n"/>
      <c r="E44" s="94" t="n"/>
      <c r="F44" s="94" t="n"/>
      <c r="G44" s="19" t="n"/>
      <c r="H44" s="94" t="n"/>
      <c r="I44" s="19" t="n"/>
      <c r="J44" s="83" t="n"/>
    </row>
    <row r="45">
      <c r="A45" s="19" t="n"/>
      <c r="B45" s="94" t="n"/>
      <c r="C45" s="94" t="n"/>
      <c r="D45" s="94" t="n"/>
      <c r="E45" s="94" t="n"/>
      <c r="F45" s="94" t="n"/>
      <c r="G45" s="19" t="n"/>
      <c r="H45" s="94" t="n"/>
      <c r="I45" s="19" t="n"/>
      <c r="J45" s="83" t="n"/>
    </row>
    <row r="46">
      <c r="B46" s="83" t="n"/>
      <c r="C46" s="83" t="n"/>
      <c r="D46" s="83" t="n"/>
      <c r="E46" s="83" t="n"/>
      <c r="F46" s="83" t="n"/>
      <c r="H46" s="83" t="n"/>
      <c r="J46" s="83" t="n"/>
    </row>
    <row r="47">
      <c r="B47" s="83" t="n"/>
      <c r="C47" s="83" t="n"/>
      <c r="D47" s="83" t="n"/>
      <c r="E47" s="83" t="n"/>
      <c r="F47" s="83" t="n"/>
      <c r="H47" s="83" t="n"/>
      <c r="J47" s="83" t="n"/>
    </row>
    <row r="48">
      <c r="B48" s="83" t="n"/>
      <c r="C48" s="83" t="n"/>
      <c r="D48" s="83" t="n"/>
      <c r="E48" s="83" t="n"/>
      <c r="F48" s="83" t="n"/>
      <c r="H48" s="83" t="n"/>
      <c r="J48" s="83" t="n"/>
    </row>
    <row r="49">
      <c r="B49" s="83" t="n"/>
      <c r="C49" s="83" t="n"/>
      <c r="D49" s="83" t="n"/>
      <c r="E49" s="83" t="n"/>
      <c r="F49" s="83" t="n"/>
      <c r="H49" s="83" t="n"/>
      <c r="J49" s="83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2024-12-18T10:07:28Z</dcterms:created>
  <dcterms:modified xsi:type="dcterms:W3CDTF">2026-04-30T10:20:05Z</dcterms:modified>
  <cp:lastModifiedBy>Office</cp:lastModifiedBy>
  <cp:lastPrinted>2025-12-31T10:30:34Z</cp:lastPrinted>
</cp:coreProperties>
</file>
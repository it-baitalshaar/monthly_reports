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عدنان محمد يوسف" sheetId="8" state="visible" r:id="rId8"/>
    <sheet name="نظر جان محمد ظاهر" sheetId="9" state="visible" r:id="rId9"/>
    <sheet name="ارشد على عزيز اور الرحمن" sheetId="10" state="visible" r:id="rId10"/>
    <sheet name="محمد مصطفى يوسف  غانم" sheetId="11" state="visible" r:id="rId11"/>
    <sheet name="محمد بلال احمد" sheetId="12" state="visible" r:id="rId12"/>
    <sheet name="محمد ادريس عجب كل" sheetId="13" state="visible" r:id="rId13"/>
    <sheet name=" محمد عويس شير اكبر" sheetId="14" state="visible" r:id="rId14"/>
    <sheet name="ميلكامو مولا بيليو" sheetId="15" state="visible" r:id="rId15"/>
    <sheet name="امارى ميسقى وبيتو" sheetId="16" state="visible" r:id="rId16"/>
    <sheet name="ابابو موجيس نيجيس" sheetId="17" state="visible" r:id="rId17"/>
    <sheet name="باجر انجلال شارهان" sheetId="18" state="visible" r:id="rId18"/>
    <sheet name=" كليم الله شيرال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Faya 334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Farm 826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72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Faya 334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nan 0hrs + Farm 826 8hrs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Faya 334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 8hrs + nan 0hrs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Faya 334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nan 0hrs + Salem Al Zaabi 8hrs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عدنان محمد يوسف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Saeed Al Zubaidi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Saeed Al Zubaidi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Saeed Al Zubaidi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Saeed Al Zubaidi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Saeed Al Zubaidi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Saeed Al Zubaidi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Saeed Al Zubaidi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V</t>
        </is>
      </c>
      <c r="C27" s="68" t="n"/>
      <c r="D27" s="68" t="n"/>
      <c r="E27" s="68" t="n"/>
      <c r="F27" s="68" t="n"/>
      <c r="G27" s="26">
        <f>IF(B27="SL","SL","")</f>
        <v/>
      </c>
      <c r="H27" s="69" t="n">
        <v/>
      </c>
      <c r="I27" s="28">
        <f>IFERROR(IF(SUM(C27:G27)&gt;24,"إجمالي &gt; 24 ساعة.",SUM(C27:G27)), "")</f>
        <v/>
      </c>
      <c r="J27" s="70" t="inlineStr">
        <is>
          <t>Weekend توقف عن العمل</t>
        </is>
      </c>
    </row>
    <row r="28" ht="32" customHeight="1" s="44">
      <c r="A28" s="62" t="n">
        <v>46075</v>
      </c>
      <c r="B28" s="71" t="inlineStr">
        <is>
          <t>V</t>
        </is>
      </c>
      <c r="C28" s="72" t="n"/>
      <c r="D28" s="71" t="n"/>
      <c r="E28" s="74" t="n"/>
      <c r="F28" s="74" t="n"/>
      <c r="G28" s="29">
        <f>IF(B28="SL","SL","")</f>
        <v/>
      </c>
      <c r="H28" s="75" t="n">
        <v/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V</t>
        </is>
      </c>
      <c r="C29" s="68" t="n"/>
      <c r="D29" s="68" t="n"/>
      <c r="E29" s="68" t="n"/>
      <c r="F29" s="68" t="n"/>
      <c r="G29" s="26">
        <f>IF(B29="SL","SL","")</f>
        <v/>
      </c>
      <c r="H29" s="69" t="n">
        <v/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V</t>
        </is>
      </c>
      <c r="C30" s="72" t="n"/>
      <c r="D30" s="71" t="n"/>
      <c r="E30" s="74" t="n"/>
      <c r="F30" s="74" t="n"/>
      <c r="G30" s="29">
        <f>IF(B30="SL","SL","")</f>
        <v/>
      </c>
      <c r="H30" s="75" t="n">
        <v/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V</t>
        </is>
      </c>
      <c r="C31" s="68" t="n"/>
      <c r="D31" s="68" t="n"/>
      <c r="E31" s="68" t="n"/>
      <c r="F31" s="68" t="n"/>
      <c r="G31" s="26">
        <f>IF(B31="SL","SL","")</f>
        <v/>
      </c>
      <c r="H31" s="69" t="n">
        <v/>
      </c>
      <c r="I31" s="28">
        <f>IFERROR(IF(SUM(C31:G31)&gt;24,"إجمالي &gt; 24 ساعة.",SUM(C31:G31)), "")</f>
        <v/>
      </c>
      <c r="J31" s="70" t="n">
        <v/>
      </c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 8hrs + nan 0hrs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Abo-Abdullah-Villa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Farm 826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>
        <v>3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72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A</t>
        </is>
      </c>
      <c r="C31" s="68" t="n"/>
      <c r="D31" s="68" t="n"/>
      <c r="E31" s="68" t="n"/>
      <c r="F31" s="68" t="n"/>
      <c r="G31" s="26">
        <f>IF(B31="SL","SL","")</f>
        <v/>
      </c>
      <c r="H31" s="69" t="n">
        <v/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Abdullah Aljunaibi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3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inlineStr">
        <is>
          <t xml:space="preserve">ساعتين سابقات عن موقع وليد العماري </t>
        </is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>
        <v>3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A</t>
        </is>
      </c>
      <c r="C23" s="68" t="n"/>
      <c r="D23" s="68" t="n"/>
      <c r="E23" s="68" t="n"/>
      <c r="F23" s="68" t="n"/>
      <c r="G23" s="26">
        <f>IF(B23="SL","SL","")</f>
        <v/>
      </c>
      <c r="H23" s="69" t="n">
        <v/>
      </c>
      <c r="I23" s="28">
        <f>IFERROR(IF(SUM(C23:G23)&gt;24,"إجمالي &gt; 24 ساعة.",SUM(C23:G23)), "")</f>
        <v/>
      </c>
      <c r="J23" s="70" t="inlineStr">
        <is>
          <t xml:space="preserve">عقاب يوم واحد له لعدم اتباع تعليمات الفورمان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4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inlineStr">
        <is>
          <t xml:space="preserve">تنزيل تريلا بلاستر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4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inlineStr">
        <is>
          <t xml:space="preserve">تنزيل تريلا البلاستر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Abdullah Aljunaibi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nan 0hrs + Salem Al Zaabi 8hrs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2026-03-01T07:01:08Z</dcterms:modified>
  <cp:lastModifiedBy>Office</cp:lastModifiedBy>
  <cp:lastPrinted>2025-12-31T10:30:34Z</cp:lastPrinted>
</cp:coreProperties>
</file>
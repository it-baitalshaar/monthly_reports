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عجب خان" sheetId="2" state="visible" r:id="rId2"/>
    <sheet name="حفيظ الله" sheetId="3" state="visible" r:id="rId3"/>
    <sheet name="شمس الرحمن" sheetId="4" state="visible" r:id="rId4"/>
    <sheet name="رحمت الله" sheetId="5" state="visible" r:id="rId5"/>
    <sheet name="نداء الله محمد ايوب خان" sheetId="6" state="visible" r:id="rId6"/>
    <sheet name="بلال خان سعيد رحمن" sheetId="7" state="visible" r:id="rId7"/>
    <sheet name="محمد شاهجان جازى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4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5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3" fillId="13" borderId="5" applyAlignment="1" applyProtection="1" pivotButton="0" quotePrefix="0" xfId="0">
      <alignment horizontal="center"/>
      <protection locked="0" hidden="0"/>
    </xf>
    <xf numFmtId="0" fontId="12" fillId="13" borderId="5" applyAlignment="1" applyProtection="1" pivotButton="0" quotePrefix="0" xfId="6">
      <alignment horizontal="center" vertical="center" readingOrder="2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I purchased breaker for farm  also I fix.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20 4hrs + Masjid Al Karama 4hrs</t>
        </is>
      </c>
      <c r="I9" s="28">
        <f>IFERROR(IF(SUM(C9:G9)&gt;24,"إجمالي &gt; 24 ساعة.",SUM(C9:G9)), "")</f>
        <v/>
      </c>
      <c r="J9" s="70" t="inlineStr">
        <is>
          <t>we clean Alsaqia Ac also we repair one Ac  of office 8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 1hrs + Saqia 20 7hrs</t>
        </is>
      </c>
      <c r="I10" s="34">
        <f>IFERROR(IF(SUM(C10:G10)&gt;24,"إجمالي &gt; 24 ساعة.",SUM(C10:G10)), "")</f>
        <v/>
      </c>
      <c r="J10" s="70" t="inlineStr">
        <is>
          <t xml:space="preserve">we make water tank also chang. door lock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 2hrs + Al Salam Complex 6hrs</t>
        </is>
      </c>
      <c r="I11" s="28">
        <f>IFERROR(IF(SUM(C11:G11)&gt;24,"إجمالي &gt; 24 ساعة.",SUM(C11:G11)), "")</f>
        <v/>
      </c>
      <c r="J11" s="70" t="inlineStr">
        <is>
          <t>we make Ac in salam villa  flat 5 .also thraw west thing around villa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 1hrs + Home`s Mr.Abdullah 7hrs</t>
        </is>
      </c>
      <c r="I12" s="34">
        <f>IFERROR(IF(SUM(C12:G12)&gt;24,"إجمالي &gt; 24 ساعة.",SUM(C12:G12)), "")</f>
        <v/>
      </c>
      <c r="J12" s="70" t="inlineStr">
        <is>
          <t xml:space="preserve">we. shift new Ac for b4 flat. also I make  washing machine for  repair 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 7hrs + Al Saada Complex 1hrs</t>
        </is>
      </c>
      <c r="I13" s="28">
        <f>IFERROR(IF(SUM(C13:G13)&gt;24,"إجمالي &gt; 24 ساعة.",SUM(C13:G13)), "")</f>
        <v/>
      </c>
      <c r="J13" s="70" t="inlineStr">
        <is>
          <t xml:space="preserve">I bring compressor for villa 130 villa also we repair washing machine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 3hrs + Al Shahama complex 5hrs</t>
        </is>
      </c>
      <c r="I15" s="28">
        <f>IFERROR(IF(SUM(C15:G15)&gt;24,"إجمالي &gt; 24 ساعة.",SUM(C15:G15)), "")</f>
        <v/>
      </c>
      <c r="J15" s="70" t="inlineStr">
        <is>
          <t>I check work in shahama villa alao we fix compressor in 130 villa  1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 1hrs + Farm 826 7hrs</t>
        </is>
      </c>
      <c r="I16" s="34">
        <f>IFERROR(IF(SUM(C16:G16)&gt;24,"إجمالي &gt; 24 ساعة.",SUM(C16:G16)), "")</f>
        <v/>
      </c>
      <c r="J16" s="70" t="inlineStr">
        <is>
          <t xml:space="preserve">we move tow Ac  in farm villa. 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Salam Complex 5hrs + Al Saada Complex 3hrs</t>
        </is>
      </c>
      <c r="I17" s="28">
        <f>IFERROR(IF(SUM(C17:G17)&gt;24,"إجمالي &gt; 24 ساعة.",SUM(C17:G17)), "")</f>
        <v/>
      </c>
      <c r="J17" s="70" t="inlineStr">
        <is>
          <t xml:space="preserve">I provide material in Alsaada compound. also salam villa we clean outside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 3hrs + Al Salam Complex 5hrs</t>
        </is>
      </c>
      <c r="I18" s="34">
        <f>IFERROR(IF(SUM(C18:G18)&gt;24,"إجمالي &gt; 24 ساعة.",SUM(C18:G18)), "")</f>
        <v/>
      </c>
      <c r="J18" s="70" t="inlineStr">
        <is>
          <t xml:space="preserve">we removed scraps from salam villa  threw in scrap yard. 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Karama Complex</t>
        </is>
      </c>
      <c r="I19" s="28">
        <f>IFERROR(IF(SUM(C19:G19)&gt;24,"إجمالي &gt; 24 ساعة.",SUM(C19:G19)), "")</f>
        <v/>
      </c>
      <c r="J19" s="70" t="inlineStr">
        <is>
          <t xml:space="preserve">Ac work in alkarama villa 3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we make painting work in stairs area. also I bring material for Ac from mussafha 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Karama Complex</t>
        </is>
      </c>
      <c r="I22" s="34">
        <f>IFERROR(IF(SUM(C21:G21)&gt;24,"إجمالي &gt; 24 ساعة.",SUM(C21:G21)), "")</f>
        <v/>
      </c>
      <c r="J22" s="70" t="inlineStr">
        <is>
          <t xml:space="preserve">we repair water pump 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Adil Villa 5hrs + Al Salam Complex 3hrs</t>
        </is>
      </c>
      <c r="I23" s="28">
        <f>IFERROR(IF(SUM(C23:G23)&gt;24,"إجمالي &gt; 24 ساعة.",SUM(C23:G23)), "")</f>
        <v/>
      </c>
      <c r="J23" s="70" t="inlineStr">
        <is>
          <t>we open dran in  adill villa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Salam Complex</t>
        </is>
      </c>
      <c r="I24" s="34">
        <f>IFERROR(IF(SUM(C24:G24)&gt;24,"إجمالي &gt; 24 ساعة.",SUM(C24:G24)), "")</f>
        <v/>
      </c>
      <c r="J24" s="70" t="inlineStr">
        <is>
          <t xml:space="preserve">I provide 🫟 paint in salam villa . also I go office I submitted invoice. </t>
        </is>
      </c>
    </row>
    <row r="25" ht="32" customHeight="1" s="44">
      <c r="A25" s="61" t="n">
        <v>46100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Holiday  I check Ac in doctor Abdullah majeed</t>
        </is>
      </c>
    </row>
    <row r="26" ht="32" customHeight="1" s="44">
      <c r="A26" s="62" t="n">
        <v>46101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Weekend I changed flout ball in w tank </t>
        </is>
      </c>
    </row>
    <row r="27" ht="32" customHeight="1" s="44">
      <c r="A27" s="61" t="n">
        <v>46102</v>
      </c>
      <c r="B27" s="76" t="inlineStr">
        <is>
          <t>W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Abo-Abdullah-Villa</t>
        </is>
      </c>
      <c r="I29" s="28">
        <f>IFERROR(IF(SUM(C29:G29)&gt;24,"إجمالي &gt; 24 ساعة.",SUM(C29:G29)), "")</f>
        <v/>
      </c>
      <c r="J29" s="70" t="inlineStr">
        <is>
          <t xml:space="preserve">we open in Baba home  main hole. electric work in alkarama 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Adil Villa 4hrs + Saqia 14 (Store) 4hrs</t>
        </is>
      </c>
      <c r="I30" s="34">
        <f>IFERROR(IF(SUM(C30:G30)&gt;24,"إجمالي &gt; 24 ساعة.",SUM(C30:G30)), "")</f>
        <v/>
      </c>
      <c r="J30" s="70" t="inlineStr">
        <is>
          <t xml:space="preserve">b14 store electric work . adil villa door work also electric work </t>
        </is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Adil Villa 4hrs + Al Salam Complex 4hrs</t>
        </is>
      </c>
      <c r="I31" s="28">
        <f>IFERROR(IF(SUM(C31:G31)&gt;24,"إجمالي &gt; 24 ساعة.",SUM(C31:G31)), "")</f>
        <v/>
      </c>
      <c r="J31" s="70" t="inlineStr">
        <is>
          <t xml:space="preserve">we. make  electric  short circuit in both Sait 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20 4hrs + Al Karama Complex 4hrs</t>
        </is>
      </c>
      <c r="I32" s="34">
        <f>IFERROR(IF(SUM(C32:G32)&gt;24,"إجمالي &gt; 24 ساعة.",SUM(C32:G32)), "")</f>
        <v/>
      </c>
      <c r="J32" s="70" t="inlineStr">
        <is>
          <t xml:space="preserve">we changed door 🔐 in p20 toilet. </t>
        </is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 3hrs + Abo-Abdullah-Villa 5hrs</t>
        </is>
      </c>
      <c r="I33" s="28">
        <f>IFERROR(IF(SUM(C33:G33)&gt;24,"إجمالي &gt; 24 ساعة.",SUM(C33:G33)), "")</f>
        <v/>
      </c>
      <c r="J33" s="70" t="inlineStr">
        <is>
          <t>we removed sand Frome  Baba home . Alsaada electric work</t>
        </is>
      </c>
    </row>
    <row r="34" ht="32" customHeight="1" s="44">
      <c r="A34" s="62" t="n">
        <v>46109</v>
      </c>
      <c r="B34" s="77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Shahama complex 5hrs + Al Karama Complex 3hrs</t>
        </is>
      </c>
      <c r="I34" s="34">
        <f>IFERROR(IF(SUM(C34:G34)&gt;24,"إجمالي &gt; 24 ساعة.",SUM(C34:G34)), "")</f>
        <v/>
      </c>
      <c r="J34" s="70" t="inlineStr">
        <is>
          <t xml:space="preserve">I shift scrap in arbab home . also I go shahmma we cheak drainage pump 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</t>
        </is>
      </c>
      <c r="I35" s="28">
        <f>IFERROR(IF(SUM(C35:G35)&gt;24,"إجمالي &gt; 24 ساعة.",SUM(C35:G35)), "")</f>
        <v/>
      </c>
      <c r="J35" s="70" t="inlineStr">
        <is>
          <t>Weekend</t>
        </is>
      </c>
    </row>
    <row r="36" ht="32" customHeight="1" s="44">
      <c r="A36" s="62" t="n">
        <v>46111</v>
      </c>
      <c r="B36" s="78" t="inlineStr">
        <is>
          <t>V</t>
        </is>
      </c>
      <c r="C36" s="72" t="n"/>
      <c r="D36" s="74" t="n"/>
      <c r="E36" s="74" t="n"/>
      <c r="F36" s="74" t="n"/>
      <c r="G36" s="29" t="n"/>
      <c r="H36" s="75" t="n">
        <v/>
      </c>
      <c r="I36" s="34">
        <f>IFERROR(IF(SUM(C36:G36)&gt;24,"إجمالي &gt; 24 ساعة.",SUM(C36:G36)), "")</f>
        <v/>
      </c>
      <c r="J36" s="70" t="inlineStr">
        <is>
          <t xml:space="preserve">yearly vacation </t>
        </is>
      </c>
    </row>
    <row r="37" ht="32" customHeight="1" s="44">
      <c r="A37" s="61" t="n">
        <v>46112</v>
      </c>
      <c r="B37" s="68" t="inlineStr">
        <is>
          <t>V</t>
        </is>
      </c>
      <c r="C37" s="68" t="n"/>
      <c r="D37" s="68" t="n"/>
      <c r="E37" s="68" t="n"/>
      <c r="F37" s="68" t="n"/>
      <c r="G37" s="26" t="n"/>
      <c r="H37" s="69" t="n">
        <v/>
      </c>
      <c r="I37" s="28">
        <f>IFERROR(IF(SUM(C37:G37)&gt;24,"إجمالي &gt; 24 ساعة.",SUM(C37:G37)), "")</f>
        <v/>
      </c>
      <c r="J37" s="70" t="inlineStr">
        <is>
          <t xml:space="preserve">yearly vacation 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he changed water heater in c3 flat also painting works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>painting work in flat c2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ac work in compound. a1. b4.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>Ac work in b4. also painting work c2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Salam Complex</t>
        </is>
      </c>
      <c r="I12" s="34">
        <f>IFERROR(IF(SUM(C12:G12)&gt;24,"إجمالي &gt; 24 ساعة.",SUM(C12:G12)), "")</f>
        <v/>
      </c>
      <c r="J12" s="70" t="inlineStr">
        <is>
          <t>he fix Ac. in b4 flat new gree ac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painting work in c2 flat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 4hrs + Al Saada Complex 4hrs</t>
        </is>
      </c>
      <c r="I15" s="28">
        <f>IFERROR(IF(SUM(C15:G15)&gt;24,"إجمالي &gt; 24 ساعة.",SUM(C15:G15)), "")</f>
        <v/>
      </c>
      <c r="J15" s="70" t="inlineStr">
        <is>
          <t>cleaning work in c2 flat also Ac work in 130 villa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he changed Ac  two pcs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1</v>
      </c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he changed mixer in D4 flat. also c2  door painting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Ciramic fix in c2 flat. 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Ac work in Alsaada compound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>painting work in stairs area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he painting e6 flat 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>painting work in e6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>Ac work also painting work</t>
        </is>
      </c>
    </row>
    <row r="25" ht="32" customHeight="1" s="44">
      <c r="A25" s="61" t="n">
        <v>46100</v>
      </c>
      <c r="B25" s="68" t="inlineStr">
        <is>
          <t>P</t>
        </is>
      </c>
      <c r="C25" s="68" t="n">
        <v>8</v>
      </c>
      <c r="D25" s="68" t="n">
        <v>1</v>
      </c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Holiday . he open dran in asad room</t>
        </is>
      </c>
    </row>
    <row r="26" ht="32" customHeight="1" s="44">
      <c r="A26" s="62" t="n">
        <v>46101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6" t="inlineStr">
        <is>
          <t>W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electric work in villas 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electric work in compound </t>
        </is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electric and paint work 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 xml:space="preserve">electric work in villa </t>
        </is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>Ac work e villa breaker chang</t>
        </is>
      </c>
    </row>
    <row r="34" ht="32" customHeight="1" s="44">
      <c r="A34" s="62" t="n">
        <v>46109</v>
      </c>
      <c r="B34" s="77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>Ac work also  shifts items with asad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</t>
        </is>
      </c>
      <c r="I35" s="28">
        <f>IFERROR(IF(SUM(C35:G35)&gt;24,"إجمالي &gt; 24 ساعة.",SUM(C35:G35)), "")</f>
        <v/>
      </c>
      <c r="J35" s="70" t="inlineStr">
        <is>
          <t>Weekend</t>
        </is>
      </c>
    </row>
    <row r="36" ht="32" customHeight="1" s="44">
      <c r="A36" s="62" t="n">
        <v>46111</v>
      </c>
      <c r="B36" s="78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 xml:space="preserve">painting work in stairs area </t>
        </is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Saada Complex</t>
        </is>
      </c>
      <c r="I37" s="28">
        <f>IFERROR(IF(SUM(C37:G37)&gt;24,"إجمالي &gt; 24 ساعة.",SUM(C37:G37)), "")</f>
        <v/>
      </c>
      <c r="J37" s="70" t="inlineStr">
        <is>
          <t xml:space="preserve">sellicon work of windows 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Shahama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. also he works for helping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Shahama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Shahama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1</v>
      </c>
      <c r="E11" s="68" t="n"/>
      <c r="F11" s="68" t="n"/>
      <c r="G11" s="26">
        <f>IF(B11="SL","SL","")</f>
        <v/>
      </c>
      <c r="H11" s="69" t="inlineStr">
        <is>
          <t>Al Shahama complex</t>
        </is>
      </c>
      <c r="I11" s="28">
        <f>IFERROR(IF(SUM(C11:G11)&gt;24,"إجمالي &gt; 24 ساعة.",SUM(C11:G11)), "")</f>
        <v/>
      </c>
      <c r="J11" s="70" t="inlineStr">
        <is>
          <t>cleaning work in villa also water leaking cheak in flat 2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Shahama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Shahama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Al Shahama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Ac work in farm villa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1</v>
      </c>
      <c r="E17" s="68" t="n"/>
      <c r="F17" s="68" t="n"/>
      <c r="G17" s="26">
        <f>IF(B17="SL","SL","")</f>
        <v/>
      </c>
      <c r="H17" s="69" t="inlineStr">
        <is>
          <t>Saqia 72</t>
        </is>
      </c>
      <c r="I17" s="28">
        <f>IFERROR(IF(SUM(C17:G17)&gt;24,"إجمالي &gt; 24 ساعة.",SUM(C17:G17)), "")</f>
        <v/>
      </c>
      <c r="J17" s="70" t="inlineStr">
        <is>
          <t xml:space="preserve">he fix light with Jumma in p72..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Saqia 72</t>
        </is>
      </c>
      <c r="I18" s="34">
        <f>IFERROR(IF(SUM(C18:G18)&gt;24,"إجمالي &gt; 24 ساعة.",SUM(C18:G18)), "")</f>
        <v/>
      </c>
      <c r="J18" s="70" t="inlineStr">
        <is>
          <t>he fix light in p72store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Shahama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46096</v>
      </c>
      <c r="B21" s="68" t="inlineStr">
        <is>
          <t>P</t>
        </is>
      </c>
      <c r="C21" s="68" t="n"/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Salam Complex</t>
        </is>
      </c>
      <c r="I22" s="34">
        <f>IFERROR(IF(SUM(C21:G21)&gt;24,"إجمالي &gt; 24 ساعة.",SUM(C21:G21)), "")</f>
        <v/>
      </c>
      <c r="J22" s="70" t="inlineStr">
        <is>
          <t>he service Ac in corridor ac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Adil Villa 0hrs + Al Salam Complex 8hrs</t>
        </is>
      </c>
      <c r="I23" s="28">
        <f>IFERROR(IF(SUM(C23:G23)&gt;24,"إجمالي &gt; 24 ساعة.",SUM(C23:G23)), "")</f>
        <v/>
      </c>
      <c r="J23" s="70" t="inlineStr">
        <is>
          <t>Ac work also dran work</t>
        </is>
      </c>
    </row>
    <row r="24" ht="32" customHeight="1" s="44">
      <c r="A24" s="62" t="n">
        <v>46099</v>
      </c>
      <c r="B24" s="71" t="inlineStr">
        <is>
          <t>V</t>
        </is>
      </c>
      <c r="C24" s="72" t="n"/>
      <c r="D24" s="71" t="n"/>
      <c r="E24" s="74" t="n"/>
      <c r="F24" s="74" t="n"/>
      <c r="G24" s="29">
        <f>IF(B24="SL","SL","")</f>
        <v/>
      </c>
      <c r="H24" s="75" t="n">
        <v/>
      </c>
      <c r="I24" s="34">
        <f>IFERROR(IF(SUM(C24:G24)&gt;24,"إجمالي &gt; 24 ساعة.",SUM(C24:G24)), "")</f>
        <v/>
      </c>
      <c r="J24" s="70" t="inlineStr">
        <is>
          <t>Vacation</t>
        </is>
      </c>
    </row>
    <row r="25" ht="32" customHeight="1" s="44">
      <c r="A25" s="61" t="n">
        <v>46100</v>
      </c>
      <c r="B25" s="68" t="inlineStr">
        <is>
          <t>V</t>
        </is>
      </c>
      <c r="C25" s="68" t="n"/>
      <c r="D25" s="68" t="n"/>
      <c r="E25" s="68" t="n"/>
      <c r="F25" s="68" t="n"/>
      <c r="G25" s="26">
        <f>IF(B25="SL","SL","")</f>
        <v/>
      </c>
      <c r="H25" s="69" t="n">
        <v/>
      </c>
      <c r="I25" s="28">
        <f>IFERROR(IF(SUM(C25:G25)&gt;24,"إجمالي &gt; 24 ساعة.",SUM(C25:G25)), "")</f>
        <v/>
      </c>
      <c r="J25" s="70" t="inlineStr">
        <is>
          <t xml:space="preserve">yearly vacation </t>
        </is>
      </c>
    </row>
    <row r="26" ht="32" customHeight="1" s="44">
      <c r="A26" s="62" t="n">
        <v>46101</v>
      </c>
      <c r="B26" s="71" t="inlineStr">
        <is>
          <t>V</t>
        </is>
      </c>
      <c r="C26" s="72" t="n"/>
      <c r="D26" s="71" t="n"/>
      <c r="E26" s="74" t="n"/>
      <c r="F26" s="74" t="n"/>
      <c r="G26" s="29">
        <f>IF(B26="SL","SL","")</f>
        <v/>
      </c>
      <c r="H26" s="75" t="n">
        <v/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68" t="inlineStr">
        <is>
          <t>V</t>
        </is>
      </c>
      <c r="C27" s="68" t="n"/>
      <c r="D27" s="68" t="n"/>
      <c r="E27" s="68" t="n"/>
      <c r="F27" s="68" t="n"/>
      <c r="G27" s="26">
        <f>IF(B27="SL","SL","")</f>
        <v/>
      </c>
      <c r="H27" s="69" t="n">
        <v/>
      </c>
      <c r="I27" s="28">
        <f>IFERROR(IF(SUM(C27:G27)&gt;24,"إجمالي &gt; 24 ساعة.",SUM(C27:G27)), "")</f>
        <v/>
      </c>
      <c r="J27" s="70" t="inlineStr">
        <is>
          <t>Vacation</t>
        </is>
      </c>
    </row>
    <row r="28" ht="32" customHeight="1" s="44">
      <c r="A28" s="62" t="n">
        <v>46103</v>
      </c>
      <c r="B28" s="71" t="inlineStr">
        <is>
          <t>V</t>
        </is>
      </c>
      <c r="C28" s="72" t="n"/>
      <c r="D28" s="71" t="n"/>
      <c r="E28" s="74" t="n"/>
      <c r="F28" s="74" t="n"/>
      <c r="G28" s="29">
        <f>IF(B28="SL","SL","")</f>
        <v/>
      </c>
      <c r="H28" s="75" t="n">
        <v/>
      </c>
      <c r="I28" s="34">
        <f>IFERROR(IF(SUM(C28:G28)&gt;24,"إجمالي &gt; 24 ساعة.",SUM(C28:G28)), "")</f>
        <v/>
      </c>
      <c r="J28" s="70" t="inlineStr">
        <is>
          <t xml:space="preserve">yearly vacation </t>
        </is>
      </c>
    </row>
    <row r="29" ht="32" customHeight="1" s="44">
      <c r="A29" s="61" t="n">
        <v>46104</v>
      </c>
      <c r="B29" s="68" t="inlineStr">
        <is>
          <t>V</t>
        </is>
      </c>
      <c r="C29" s="68" t="n"/>
      <c r="D29" s="68" t="n"/>
      <c r="E29" s="68" t="n"/>
      <c r="F29" s="68" t="n"/>
      <c r="G29" s="26">
        <f>IF(B29="SL","SL","")</f>
        <v/>
      </c>
      <c r="H29" s="69" t="n">
        <v/>
      </c>
      <c r="I29" s="28">
        <f>IFERROR(IF(SUM(C29:G29)&gt;24,"إجمالي &gt; 24 ساعة.",SUM(C29:G29)), "")</f>
        <v/>
      </c>
      <c r="J29" s="70" t="inlineStr">
        <is>
          <t xml:space="preserve">yearly vacation </t>
        </is>
      </c>
    </row>
    <row r="30" ht="32" customHeight="1" s="44">
      <c r="A30" s="62" t="n">
        <v>46105</v>
      </c>
      <c r="B30" s="71" t="inlineStr">
        <is>
          <t>V</t>
        </is>
      </c>
      <c r="C30" s="72" t="n"/>
      <c r="D30" s="71" t="n"/>
      <c r="E30" s="74" t="n"/>
      <c r="F30" s="74" t="n"/>
      <c r="G30" s="29">
        <f>IF(B30="SL","SL","")</f>
        <v/>
      </c>
      <c r="H30" s="75" t="n">
        <v/>
      </c>
      <c r="I30" s="34">
        <f>IFERROR(IF(SUM(C30:G30)&gt;24,"إجمالي &gt; 24 ساعة.",SUM(C30:G30)), "")</f>
        <v/>
      </c>
      <c r="J30" s="70" t="inlineStr">
        <is>
          <t xml:space="preserve">yearly vacation </t>
        </is>
      </c>
    </row>
    <row r="31" ht="32" customHeight="1" s="44">
      <c r="A31" s="61" t="n">
        <v>46106</v>
      </c>
      <c r="B31" s="68" t="inlineStr">
        <is>
          <t>V</t>
        </is>
      </c>
      <c r="C31" s="68" t="n"/>
      <c r="D31" s="68" t="n"/>
      <c r="E31" s="68" t="n"/>
      <c r="F31" s="68" t="n"/>
      <c r="G31" s="26">
        <f>IF(B31="SL","SL","")</f>
        <v/>
      </c>
      <c r="H31" s="69" t="n">
        <v/>
      </c>
      <c r="I31" s="28">
        <f>IFERROR(IF(SUM(C31:G31)&gt;24,"إجمالي &gt; 24 ساعة.",SUM(C31:G31)), "")</f>
        <v/>
      </c>
      <c r="J31" s="70" t="inlineStr">
        <is>
          <t xml:space="preserve">yearly vacation </t>
        </is>
      </c>
    </row>
    <row r="32" ht="32" customHeight="1" s="44">
      <c r="A32" s="62" t="n">
        <v>46107</v>
      </c>
      <c r="B32" s="71" t="inlineStr">
        <is>
          <t>V</t>
        </is>
      </c>
      <c r="C32" s="72" t="n"/>
      <c r="D32" s="71" t="n"/>
      <c r="E32" s="74" t="n"/>
      <c r="F32" s="74" t="n"/>
      <c r="G32" s="29">
        <f>IF(B32="SL","SL","")</f>
        <v/>
      </c>
      <c r="H32" s="75" t="n">
        <v/>
      </c>
      <c r="I32" s="34">
        <f>IFERROR(IF(SUM(C32:G32)&gt;24,"إجمالي &gt; 24 ساعة.",SUM(C32:G32)), "")</f>
        <v/>
      </c>
      <c r="J32" s="70" t="inlineStr">
        <is>
          <t xml:space="preserve">yearly vacation </t>
        </is>
      </c>
    </row>
    <row r="33" ht="32" customHeight="1" s="44">
      <c r="A33" s="61" t="n">
        <v>46108</v>
      </c>
      <c r="B33" s="68" t="inlineStr">
        <is>
          <t>V</t>
        </is>
      </c>
      <c r="C33" s="68" t="n"/>
      <c r="D33" s="68" t="n"/>
      <c r="E33" s="68" t="n"/>
      <c r="F33" s="68" t="n"/>
      <c r="G33" s="26">
        <f>IF(B33="SL","SL","")</f>
        <v/>
      </c>
      <c r="H33" s="69" t="n">
        <v/>
      </c>
      <c r="I33" s="28">
        <f>IFERROR(IF(SUM(C33:G33)&gt;24,"إجمالي &gt; 24 ساعة.",SUM(C33:G33)), "")</f>
        <v/>
      </c>
      <c r="J33" s="70" t="inlineStr">
        <is>
          <t xml:space="preserve">yearly vacation </t>
        </is>
      </c>
    </row>
    <row r="34" ht="32" customHeight="1" s="44">
      <c r="A34" s="62" t="n">
        <v>46109</v>
      </c>
      <c r="B34" s="78" t="inlineStr">
        <is>
          <t>V</t>
        </is>
      </c>
      <c r="C34" s="72" t="n"/>
      <c r="D34" s="74" t="n"/>
      <c r="E34" s="74" t="n"/>
      <c r="F34" s="74" t="n"/>
      <c r="G34" s="29">
        <f>IF(B34="SL","SL","")</f>
        <v/>
      </c>
      <c r="H34" s="75" t="n">
        <v/>
      </c>
      <c r="I34" s="34">
        <f>IFERROR(IF(SUM(C34:G34)&gt;24,"إجمالي &gt; 24 ساعة.",SUM(C34:G34)), "")</f>
        <v/>
      </c>
      <c r="J34" s="70" t="inlineStr">
        <is>
          <t xml:space="preserve">yearly vacation </t>
        </is>
      </c>
    </row>
    <row r="35" ht="32" customHeight="1" s="44">
      <c r="A35" s="61" t="n">
        <v>46110</v>
      </c>
      <c r="B35" s="68" t="inlineStr">
        <is>
          <t>V</t>
        </is>
      </c>
      <c r="C35" s="68" t="n"/>
      <c r="D35" s="68" t="n"/>
      <c r="E35" s="68" t="n"/>
      <c r="F35" s="68" t="n"/>
      <c r="G35" s="26">
        <f>IF(B35="SL","SL","")</f>
        <v/>
      </c>
      <c r="H35" s="69" t="n">
        <v/>
      </c>
      <c r="I35" s="28">
        <f>IFERROR(IF(SUM(C35:G35)&gt;24,"إجمالي &gt; 24 ساعة.",SUM(C35:G35)), "")</f>
        <v/>
      </c>
      <c r="J35" s="70" t="inlineStr">
        <is>
          <t xml:space="preserve">yearly vacation </t>
        </is>
      </c>
    </row>
    <row r="36" ht="32" customHeight="1" s="44">
      <c r="A36" s="62" t="n">
        <v>46111</v>
      </c>
      <c r="B36" s="78" t="inlineStr">
        <is>
          <t>V</t>
        </is>
      </c>
      <c r="C36" s="72" t="n"/>
      <c r="D36" s="74" t="n"/>
      <c r="E36" s="74" t="n"/>
      <c r="F36" s="74" t="n"/>
      <c r="G36" s="29" t="n"/>
      <c r="H36" s="75" t="n">
        <v/>
      </c>
      <c r="I36" s="34">
        <f>IFERROR(IF(SUM(C36:G36)&gt;24,"إجمالي &gt; 24 ساعة.",SUM(C36:G36)), "")</f>
        <v/>
      </c>
      <c r="J36" s="70" t="inlineStr">
        <is>
          <t xml:space="preserve">yearly vacation </t>
        </is>
      </c>
    </row>
    <row r="37" ht="32" customHeight="1" s="44">
      <c r="A37" s="61" t="n">
        <v>46112</v>
      </c>
      <c r="B37" s="68" t="inlineStr">
        <is>
          <t>V</t>
        </is>
      </c>
      <c r="C37" s="68" t="n"/>
      <c r="D37" s="68" t="n"/>
      <c r="E37" s="68" t="n"/>
      <c r="F37" s="68" t="n"/>
      <c r="G37" s="26" t="n"/>
      <c r="H37" s="69" t="n">
        <v/>
      </c>
      <c r="I37" s="28">
        <f>IFERROR(IF(SUM(C37:G37)&gt;24,"إجمالي &gt; 24 ساعة.",SUM(C37:G37)), "")</f>
        <v/>
      </c>
      <c r="J37" s="70" t="inlineStr">
        <is>
          <t xml:space="preserve">yearly vacation 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Salam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Salam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.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20</t>
        </is>
      </c>
      <c r="I9" s="28">
        <f>IFERROR(IF(SUM(C9:G9)&gt;24,"إجمالي &gt; 24 ساعة.",SUM(C9:G9)), "")</f>
        <v/>
      </c>
      <c r="J9" s="70" t="inlineStr">
        <is>
          <t xml:space="preserve">he make Ac in  office 8.also Ac service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20</t>
        </is>
      </c>
      <c r="I10" s="34">
        <f>IFERROR(IF(SUM(C10:G10)&gt;24,"إجمالي &gt; 24 ساعة.",SUM(C10:G10)), "")</f>
        <v/>
      </c>
      <c r="J10" s="70" t="inlineStr">
        <is>
          <t xml:space="preserve">he  repair water tanks in P20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Salam Complex</t>
        </is>
      </c>
      <c r="I11" s="28">
        <f>IFERROR(IF(SUM(C11:G11)&gt;24,"إجمالي &gt; 24 ساعة.",SUM(C11:G11)), "")</f>
        <v/>
      </c>
      <c r="J11" s="70" t="inlineStr">
        <is>
          <t>Cleaning work in villa . also as and toilets work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Salam Complex</t>
        </is>
      </c>
      <c r="I12" s="34">
        <f>IFERROR(IF(SUM(C12:G12)&gt;24,"إجمالي &gt; 24 ساعة.",SUM(C12:G12)), "")</f>
        <v/>
      </c>
      <c r="J12" s="70" t="inlineStr">
        <is>
          <t>Cleaning work in villa . also Ac work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Salam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he fix Ac  in farm villa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Salam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in villa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Salam Complex</t>
        </is>
      </c>
      <c r="I18" s="34">
        <f>IFERROR(IF(SUM(C18:G18)&gt;24,"إجمالي &gt; 24 ساعة.",SUM(C18:G18)), "")</f>
        <v/>
      </c>
      <c r="J18" s="70" t="inlineStr">
        <is>
          <t xml:space="preserve">he collects scrap   in salam villa . 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Ac work main entrance  Ac service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Salam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Salam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Salam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also corridor  Ac service 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Salam Complex 3hrs + Adil Villa 5hrs</t>
        </is>
      </c>
      <c r="I23" s="28">
        <f>IFERROR(IF(SUM(C23:G23)&gt;24,"إجمالي &gt; 24 ساعة.",SUM(C23:G23)), "")</f>
        <v/>
      </c>
      <c r="J23" s="70" t="inlineStr">
        <is>
          <t>Ac work in salam villa also in adill villa drange work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Salam Complex</t>
        </is>
      </c>
      <c r="I24" s="34">
        <f>IFERROR(IF(SUM(C24:G24)&gt;24,"إجمالي &gt; 24 ساعة.",SUM(C24:G24)), "")</f>
        <v/>
      </c>
      <c r="J24" s="70" t="inlineStr">
        <is>
          <t>Cleaning work in villa also painting work</t>
        </is>
      </c>
    </row>
    <row r="25" ht="32" customHeight="1" s="44">
      <c r="A25" s="61" t="n">
        <v>46100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Salam Complex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Salam Complex</t>
        </is>
      </c>
      <c r="I26" s="34">
        <f>IFERROR(IF(SUM(C26:G26)&gt;24,"إجمالي &gt; 24 ساعة.",SUM(C26:G26)), "")</f>
        <v/>
      </c>
      <c r="J26" s="70" t="inlineStr">
        <is>
          <t xml:space="preserve">Holiday. </t>
        </is>
      </c>
    </row>
    <row r="27" ht="32" customHeight="1" s="44">
      <c r="A27" s="61" t="n">
        <v>46102</v>
      </c>
      <c r="B27" s="76" t="inlineStr">
        <is>
          <t>W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Salam Complex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Salam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Salam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Saqia 14 (Store) 4hrs + Adil Villa 4hrs</t>
        </is>
      </c>
      <c r="I30" s="34">
        <f>IFERROR(IF(SUM(C30:G30)&gt;24,"إجمالي &gt; 24 ساعة.",SUM(C30:G30)), "")</f>
        <v/>
      </c>
      <c r="J30" s="70" t="inlineStr">
        <is>
          <t xml:space="preserve">both site electricity work </t>
        </is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Salam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Salam Complex</t>
        </is>
      </c>
      <c r="I32" s="34">
        <f>IFERROR(IF(SUM(C32:G32)&gt;24,"إجمالي &gt; 24 ساعة.",SUM(C32:G32)), "")</f>
        <v/>
      </c>
      <c r="J32" s="70" t="inlineStr">
        <is>
          <t>Cleaning work in villa . also lock chang p20</t>
        </is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Salam Complex</t>
        </is>
      </c>
      <c r="I33" s="28">
        <f>IFERROR(IF(SUM(C33:G33)&gt;24,"إجمالي &gt; 24 ساعة.",SUM(C33:G33)), "")</f>
        <v/>
      </c>
      <c r="J33" s="70" t="inlineStr">
        <is>
          <t>Cleaning work in villa. also insulation work</t>
        </is>
      </c>
    </row>
    <row r="34" ht="32" customHeight="1" s="44">
      <c r="A34" s="62" t="n">
        <v>46109</v>
      </c>
      <c r="B34" s="77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Salam Complex</t>
        </is>
      </c>
      <c r="I34" s="34">
        <f>IFERROR(IF(SUM(C34:G34)&gt;24,"إجمالي &gt; 24 ساعة.",SUM(C34:G34)), "")</f>
        <v/>
      </c>
      <c r="J34" s="70" t="inlineStr">
        <is>
          <t xml:space="preserve">he changed water heater in 2 flat. 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Salam Complex</t>
        </is>
      </c>
      <c r="I35" s="28">
        <f>IFERROR(IF(SUM(C35:G35)&gt;24,"إجمالي &gt; 24 ساعة.",SUM(C35:G35)), "")</f>
        <v/>
      </c>
      <c r="J35" s="70" t="inlineStr">
        <is>
          <t>Weekend</t>
        </is>
      </c>
    </row>
    <row r="36" ht="32" customHeight="1" s="44">
      <c r="A36" s="62" t="n">
        <v>46111</v>
      </c>
      <c r="B36" s="78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Salam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Salam Complex</t>
        </is>
      </c>
      <c r="I37" s="28">
        <f>IFERROR(IF(SUM(C37:G37)&gt;24,"إجمالي &gt; 24 ساعة.",SUM(C37:G37)), "")</f>
        <v/>
      </c>
      <c r="J37" s="70" t="inlineStr">
        <is>
          <t>Cleaning work in villa . also  insulation work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Masjid Al Karama</t>
        </is>
      </c>
      <c r="I8" s="34">
        <f>IFERROR(IF(SUM(C8:G8)&gt;24,"إجمالي &gt; 24 ساعة.",SUM(C8:G8)), "")</f>
        <v/>
      </c>
      <c r="J8" s="70" t="inlineStr">
        <is>
          <t xml:space="preserve">he changed lights with bilal in Masjid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Masjid Al Karama</t>
        </is>
      </c>
      <c r="I9" s="28">
        <f>IFERROR(IF(SUM(C9:G9)&gt;24,"إجمالي &gt; 24 ساعة.",SUM(C9:G9)), "")</f>
        <v/>
      </c>
      <c r="J9" s="70" t="inlineStr">
        <is>
          <t xml:space="preserve">he fix light in bathroom areas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>painting work in c2 flat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1</v>
      </c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painting and Ac work. 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</t>
        </is>
      </c>
      <c r="I12" s="34">
        <f>IFERROR(IF(SUM(C12:G12)&gt;24,"إجمالي &gt; 24 ساعة.",SUM(C12:G12)), "")</f>
        <v/>
      </c>
      <c r="J12" s="70" t="inlineStr">
        <is>
          <t xml:space="preserve">he fix Ac with hafiz in Alsaada compound 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</t>
        </is>
      </c>
      <c r="I13" s="28">
        <f>IFERROR(IF(SUM(C13:G13)&gt;24,"إجمالي &gt; 24 ساعة.",SUM(C13:G13)), "")</f>
        <v/>
      </c>
      <c r="J13" s="70" t="inlineStr">
        <is>
          <t>Ac worke also  washing machine fix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Al Karama Complex</t>
        </is>
      </c>
      <c r="I14" s="34">
        <f>IFERROR(IF(SUM(C14:G14)&gt;24,"إجمالي &gt; 24 ساعة.",SUM(C14:G14)), "")</f>
        <v/>
      </c>
      <c r="J14" s="70" t="inlineStr">
        <is>
          <t>Weekend. Ac work in karama 2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Ac work in farm area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>Cleaning work in villa also in Baba home drainage work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Home`s Mr.Abdullah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Home`s Mr.Abdullah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>
        <v>1</v>
      </c>
      <c r="E20" s="74" t="n"/>
      <c r="F20" s="74" t="n"/>
      <c r="G20" s="29">
        <f>IF(B20="SL","SL","")</f>
        <v/>
      </c>
      <c r="H20" s="75" t="inlineStr">
        <is>
          <t>Home`s Mr.Abdullah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Al Shahama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Shahama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also flat 3 lights change 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Shahama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Shahama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46100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6" t="inlineStr">
        <is>
          <t>W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Shahama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Shahama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. also drain open 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Shahama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1</v>
      </c>
      <c r="E31" s="68" t="n"/>
      <c r="F31" s="68" t="n"/>
      <c r="G31" s="26">
        <f>IF(B31="SL","SL","")</f>
        <v/>
      </c>
      <c r="H31" s="69" t="inlineStr">
        <is>
          <t>Al Shahama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. 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Al Shahama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Shahama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. drange pump cleaning </t>
        </is>
      </c>
    </row>
    <row r="34" ht="32" customHeight="1" s="44">
      <c r="A34" s="62" t="n">
        <v>46109</v>
      </c>
      <c r="B34" s="77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Shahama complex</t>
        </is>
      </c>
      <c r="I34" s="34">
        <f>IFERROR(IF(SUM(C34:G34)&gt;24,"إجمالي &gt; 24 ساعة.",SUM(C34:G34)), "")</f>
        <v/>
      </c>
      <c r="J34" s="70" t="inlineStr">
        <is>
          <t xml:space="preserve">he cleaning work also drain pump ⛽ cleaning 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Farm 826</t>
        </is>
      </c>
      <c r="I35" s="28">
        <f>IFERROR(IF(SUM(C35:G35)&gt;24,"إجمالي &gt; 24 ساعة.",SUM(C35:G35)), "")</f>
        <v/>
      </c>
      <c r="J35" s="70" t="inlineStr">
        <is>
          <t>Weekend</t>
        </is>
      </c>
    </row>
    <row r="36" ht="32" customHeight="1" s="44">
      <c r="A36" s="62" t="n">
        <v>46111</v>
      </c>
      <c r="B36" s="78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Shahama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Shahama complex</t>
        </is>
      </c>
      <c r="I37" s="28">
        <f>IFERROR(IF(SUM(C37:G37)&gt;24,"إجمالي &gt; 24 ساعة.",SUM(C37:G37)), "")</f>
        <v/>
      </c>
      <c r="J37" s="70" t="inlineStr">
        <is>
          <t>drainage pump  tank cleane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Karama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Masjid Al Karama</t>
        </is>
      </c>
      <c r="I8" s="34">
        <f>IFERROR(IF(SUM(C8:G8)&gt;24,"إجمالي &gt; 24 ساعة.",SUM(C8:G8)), "")</f>
        <v/>
      </c>
      <c r="J8" s="70" t="inlineStr">
        <is>
          <t xml:space="preserve">he changed lights in Masjid Alkarama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Masjid Al Karama</t>
        </is>
      </c>
      <c r="I9" s="28">
        <f>IFERROR(IF(SUM(C9:G9)&gt;24,"إجمالي &gt; 24 ساعة.",SUM(C9:G9)), "")</f>
        <v/>
      </c>
      <c r="J9" s="70" t="inlineStr">
        <is>
          <t xml:space="preserve">he fixed Ciramic in ablution area.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20</t>
        </is>
      </c>
      <c r="I10" s="34">
        <f>IFERROR(IF(SUM(C10:G10)&gt;24,"إجمالي &gt; 24 ساعة.",SUM(C10:G10)), "")</f>
        <v/>
      </c>
      <c r="J10" s="70" t="inlineStr">
        <is>
          <t xml:space="preserve">he repair water tank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Home`s Mr.Abdullah</t>
        </is>
      </c>
      <c r="I11" s="28">
        <f>IFERROR(IF(SUM(C11:G11)&gt;24,"إجمالي &gt; 24 ساعة.",SUM(C11:G11)), "")</f>
        <v/>
      </c>
      <c r="J11" s="70" t="inlineStr">
        <is>
          <t>Ac work. in 132 villa . also fridge transfer in arbab home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</t>
        </is>
      </c>
      <c r="I12" s="34">
        <f>IFERROR(IF(SUM(C12:G12)&gt;24,"إجمالي &gt; 24 ساعة.",SUM(C12:G12)), "")</f>
        <v/>
      </c>
      <c r="J12" s="70" t="inlineStr">
        <is>
          <t>he make Ac also shifts Ac in alsaada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</t>
        </is>
      </c>
      <c r="I13" s="28">
        <f>IFERROR(IF(SUM(C13:G13)&gt;24,"إجمالي &gt; 24 ساعة.",SUM(C13:G13)), "")</f>
        <v/>
      </c>
      <c r="J13" s="70" t="inlineStr">
        <is>
          <t>Ac work also washing machine work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3</v>
      </c>
      <c r="E14" s="74" t="n"/>
      <c r="F14" s="74" t="n"/>
      <c r="G14" s="29">
        <f>IF(B14="SL","SL","")</f>
        <v/>
      </c>
      <c r="H14" s="75" t="inlineStr">
        <is>
          <t>Al Karama Complex</t>
        </is>
      </c>
      <c r="I14" s="34">
        <f>IFERROR(IF(SUM(C14:G14)&gt;24,"إجمالي &gt; 24 ساعة.",SUM(C14:G14)), "")</f>
        <v/>
      </c>
      <c r="J14" s="70" t="inlineStr">
        <is>
          <t>Weekend. alkarama 2ac work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ac work in 132 also 130 villa . he fixed Ac compressor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 xml:space="preserve">in Baba home he open dran for kitchen 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Home`s Mr.Abdullah</t>
        </is>
      </c>
      <c r="I17" s="28">
        <f>IFERROR(IF(SUM(C17:G17)&gt;24,"إجمالي &gt; 24 ساعة.",SUM(C17:G17)), "")</f>
        <v/>
      </c>
      <c r="J17" s="70" t="inlineStr">
        <is>
          <t>painting work in 130 villa. in Baba home drainage work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Home`s Mr.Abdullah</t>
        </is>
      </c>
      <c r="I18" s="34">
        <f>IFERROR(IF(SUM(C18:G18)&gt;24,"إجمالي &gt; 24 ساعة.",SUM(C18:G18)), "")</f>
        <v/>
      </c>
      <c r="J18" s="70" t="inlineStr">
        <is>
          <t xml:space="preserve">painting  and lighting work 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Karama Complex</t>
        </is>
      </c>
      <c r="I19" s="28">
        <f>IFERROR(IF(SUM(C19:G19)&gt;24,"إجمالي &gt; 24 ساعة.",SUM(C19:G19)), "")</f>
        <v/>
      </c>
      <c r="J19" s="70" t="inlineStr">
        <is>
          <t xml:space="preserve">painting  and lighting work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Home`s Mr.Abdullah</t>
        </is>
      </c>
      <c r="I20" s="34">
        <f>IFERROR(IF(SUM(C20:G20)&gt;24,"إجمالي &gt; 24 ساعة.",SUM(C20:G20)), "")</f>
        <v/>
      </c>
      <c r="J20" s="70" t="inlineStr">
        <is>
          <t xml:space="preserve">painting  and lighting work 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>
        <v>3</v>
      </c>
      <c r="E21" s="68" t="n"/>
      <c r="F21" s="68" t="n"/>
      <c r="G21" s="26">
        <f>IF(B21="SL","SL","")</f>
        <v/>
      </c>
      <c r="H21" s="69" t="inlineStr">
        <is>
          <t>Al Karama Complex</t>
        </is>
      </c>
      <c r="I21" s="28">
        <f>IFERROR(IF(SUM(C21:G21)&gt;24,"إجمالي &gt; 24 ساعة.",SUM(C21:G21)), "")</f>
        <v/>
      </c>
      <c r="J21" s="70" t="inlineStr">
        <is>
          <t>Weekend. villa 2 Ac worke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Karama Complex</t>
        </is>
      </c>
      <c r="I22" s="34">
        <f>IFERROR(IF(SUM(C21:G21)&gt;24,"إجمالي &gt; 24 ساعة.",SUM(C21:G21)), "")</f>
        <v/>
      </c>
      <c r="J22" s="70" t="inlineStr">
        <is>
          <t xml:space="preserve">he. repair water pump 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Karama Complex</t>
        </is>
      </c>
      <c r="I23" s="28">
        <f>IFERROR(IF(SUM(C23:G23)&gt;24,"إجمالي &gt; 24 ساعة.",SUM(C23:G23)), "")</f>
        <v/>
      </c>
      <c r="J23" s="70" t="inlineStr">
        <is>
          <t>he work Ac in 130 villa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Home`s Mr.Abdullah 4hrs + Al Karama Complex 4hrs</t>
        </is>
      </c>
      <c r="I24" s="34">
        <f>IFERROR(IF(SUM(C24:G24)&gt;24,"إجمالي &gt; 24 ساعة.",SUM(C24:G24)), "")</f>
        <v/>
      </c>
      <c r="J24" s="70" t="inlineStr">
        <is>
          <t>he fixed light in 130 villa. k2 Ac work. k4 light work</t>
        </is>
      </c>
    </row>
    <row r="25" ht="32" customHeight="1" s="44">
      <c r="A25" s="61" t="n">
        <v>46100</v>
      </c>
      <c r="B25" s="68" t="inlineStr">
        <is>
          <t>P</t>
        </is>
      </c>
      <c r="C25" s="68" t="n">
        <v>8</v>
      </c>
      <c r="D25" s="68" t="n">
        <v>1</v>
      </c>
      <c r="E25" s="68" t="n"/>
      <c r="F25" s="68" t="n"/>
      <c r="G25" s="26">
        <f>IF(B25="SL","SL","")</f>
        <v/>
      </c>
      <c r="H25" s="69" t="inlineStr">
        <is>
          <t>Al Karama Complex</t>
        </is>
      </c>
      <c r="I25" s="28">
        <f>IFERROR(IF(SUM(C25:G25)&gt;24,"إجمالي &gt; 24 ساعة.",SUM(C25:G25)), "")</f>
        <v/>
      </c>
      <c r="J25" s="70" t="inlineStr">
        <is>
          <t>Holiday also Ac work</t>
        </is>
      </c>
    </row>
    <row r="26" ht="32" customHeight="1" s="44">
      <c r="A26" s="62" t="n">
        <v>46101</v>
      </c>
      <c r="B26" s="71" t="inlineStr">
        <is>
          <t>P</t>
        </is>
      </c>
      <c r="C26" s="72" t="n">
        <v>8</v>
      </c>
      <c r="D26" s="71" t="n">
        <v>3</v>
      </c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Holiday . also a villa in Alsaada compound water tank leaking </t>
        </is>
      </c>
    </row>
    <row r="27" ht="32" customHeight="1" s="44">
      <c r="A27" s="61" t="n">
        <v>46102</v>
      </c>
      <c r="B27" s="76" t="inlineStr">
        <is>
          <t>W</t>
        </is>
      </c>
      <c r="C27" s="68" t="n">
        <v>8</v>
      </c>
      <c r="D27" s="68" t="n">
        <v>1</v>
      </c>
      <c r="E27" s="68" t="n"/>
      <c r="F27" s="68" t="n"/>
      <c r="G27" s="26">
        <f>IF(B27="SL","SL","")</f>
        <v/>
      </c>
      <c r="H27" s="69" t="inlineStr">
        <is>
          <t>Al Karama Complex</t>
        </is>
      </c>
      <c r="I27" s="28">
        <f>IFERROR(IF(SUM(C27:G27)&gt;24,"إجمالي &gt; 24 ساعة.",SUM(C27:G27)), "")</f>
        <v/>
      </c>
      <c r="J27" s="70" t="inlineStr">
        <is>
          <t>Holiday. also he make pip in karam</t>
        </is>
      </c>
    </row>
    <row r="28" ht="32" customHeight="1" s="44">
      <c r="A28" s="62" t="n">
        <v>46103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Home`s Mr.Abdullah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Abo-Abdullah-Villa 3hrs + Al Karama Complex 5hrs</t>
        </is>
      </c>
      <c r="I29" s="28">
        <f>IFERROR(IF(SUM(C29:G29)&gt;24,"إجمالي &gt; 24 ساعة.",SUM(C29:G29)), "")</f>
        <v/>
      </c>
      <c r="J29" s="70" t="inlineStr">
        <is>
          <t xml:space="preserve">main hole works drain open in Baba home. karama  villa electric work 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Abo-Abdullah-Villa 4hrs + Home`s Mr.Abdullah 4hrs</t>
        </is>
      </c>
      <c r="I30" s="34">
        <f>IFERROR(IF(SUM(C30:G30)&gt;24,"إجمالي &gt; 24 ساعة.",SUM(C30:G30)), "")</f>
        <v/>
      </c>
      <c r="J30" s="70" t="inlineStr">
        <is>
          <t>he close isolators of Ac with tape. also roof repair work</t>
        </is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Salam Complex 4hrs + Adil Villa 4hrs</t>
        </is>
      </c>
      <c r="I31" s="28">
        <f>IFERROR(IF(SUM(C31:G31)&gt;24,"إجمالي &gt; 24 ساعة.",SUM(C31:G31)), "")</f>
        <v/>
      </c>
      <c r="J31" s="70" t="inlineStr">
        <is>
          <t xml:space="preserve">adill villa electric short. salam villa also electric ⚡ problem 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1</v>
      </c>
      <c r="E32" s="74" t="n"/>
      <c r="F32" s="74" t="n"/>
      <c r="G32" s="29">
        <f>IF(B32="SL","SL","")</f>
        <v/>
      </c>
      <c r="H32" s="75" t="inlineStr">
        <is>
          <t>Al Karama Complex</t>
        </is>
      </c>
      <c r="I32" s="34">
        <f>IFERROR(IF(SUM(C32:G32)&gt;24,"إجمالي &gt; 24 ساعة.",SUM(C32:G32)), "")</f>
        <v/>
      </c>
      <c r="J32" s="70" t="inlineStr">
        <is>
          <t xml:space="preserve">Ac work also electric work </t>
        </is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Abo-Abdullah-Villa</t>
        </is>
      </c>
      <c r="I33" s="28">
        <f>IFERROR(IF(SUM(C33:G33)&gt;24,"إجمالي &gt; 24 ساعة.",SUM(C33:G33)), "")</f>
        <v/>
      </c>
      <c r="J33" s="70" t="inlineStr">
        <is>
          <t xml:space="preserve">we removed sand ramal. and threw bin alkarama </t>
        </is>
      </c>
    </row>
    <row r="34" ht="32" customHeight="1" s="44">
      <c r="A34" s="62" t="n">
        <v>46109</v>
      </c>
      <c r="B34" s="77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Masjid Al Karama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 drainage work 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>
        <v>1</v>
      </c>
      <c r="F35" s="68" t="n"/>
      <c r="G35" s="26">
        <f>IF(B35="SL","SL","")</f>
        <v/>
      </c>
      <c r="H35" s="69" t="inlineStr">
        <is>
          <t>Al Karama Complex</t>
        </is>
      </c>
      <c r="I35" s="28">
        <f>IFERROR(IF(SUM(C35:G35)&gt;24,"إجمالي &gt; 24 ساعة.",SUM(C35:G35)), "")</f>
        <v/>
      </c>
      <c r="J35" s="70" t="inlineStr">
        <is>
          <t xml:space="preserve">Weekend </t>
        </is>
      </c>
    </row>
    <row r="36" ht="32" customHeight="1" s="44">
      <c r="A36" s="62" t="n">
        <v>46111</v>
      </c>
      <c r="B36" s="78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Home`s Mr.Abdullah</t>
        </is>
      </c>
      <c r="I36" s="34">
        <f>IFERROR(IF(SUM(C36:G36)&gt;24,"إجمالي &gt; 24 ساعة.",SUM(C36:G36)), "")</f>
        <v/>
      </c>
      <c r="J36" s="70" t="inlineStr">
        <is>
          <t>painting work in 130 villa</t>
        </is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Karama Complex</t>
        </is>
      </c>
      <c r="I37" s="28">
        <f>IFERROR(IF(SUM(C37:G37)&gt;24,"إجمالي &gt; 24 ساعة.",SUM(C37:G37)), "")</f>
        <v/>
      </c>
      <c r="J37" s="70" t="inlineStr">
        <is>
          <t>cleaning work and. maintenance work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painting and  cleaning worke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also he give water to plant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also  he give water to plant 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</t>
        </is>
      </c>
      <c r="I12" s="34">
        <f>IFERROR(IF(SUM(C12:G12)&gt;24,"إجمالي &gt; 24 ساعة.",SUM(C12:G12)), "")</f>
        <v/>
      </c>
      <c r="J12" s="70" t="inlineStr">
        <is>
          <t xml:space="preserve">he give water to plant also cleaning work 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he give water to plant also he cleaning c villa stair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in villa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</t>
        </is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also he give water to plant 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. also e6 painting </t>
        </is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46100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6" t="inlineStr">
        <is>
          <t>W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>cleaning work in villa</t>
        </is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Salam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46109</v>
      </c>
      <c r="B34" s="77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</t>
        </is>
      </c>
      <c r="I35" s="28">
        <f>IFERROR(IF(SUM(C35:G35)&gt;24,"إجمالي &gt; 24 ساعة.",SUM(C35:G35)), "")</f>
        <v/>
      </c>
      <c r="J35" s="70" t="inlineStr">
        <is>
          <t>Weekend</t>
        </is>
      </c>
    </row>
    <row r="36" ht="32" customHeight="1" s="44">
      <c r="A36" s="62" t="n">
        <v>46111</v>
      </c>
      <c r="B36" s="78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Saada Complex</t>
        </is>
      </c>
      <c r="I37" s="28">
        <f>IFERROR(IF(SUM(C37:G37)&gt;24,"إجمالي &gt; 24 ساعة.",SUM(C37:G37)), "")</f>
        <v/>
      </c>
      <c r="J37" s="70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2026-03-31T10:44:09Z</dcterms:modified>
  <cp:lastModifiedBy>Office</cp:lastModifiedBy>
  <cp:lastPrinted>2025-12-31T10:30:34Z</cp:lastPrinted>
</cp:coreProperties>
</file>
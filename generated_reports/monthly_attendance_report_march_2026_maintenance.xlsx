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  <sheet name="عجب خان" sheetId="2" state="visible" r:id="rId2"/>
    <sheet name="حفيظ الله" sheetId="3" state="visible" r:id="rId3"/>
    <sheet name="شمس الرحمن" sheetId="4" state="visible" r:id="rId4"/>
    <sheet name="رحمت الله" sheetId="5" state="visible" r:id="rId5"/>
    <sheet name="نداء الله محمد ايوب خان" sheetId="6" state="visible" r:id="rId6"/>
    <sheet name="بلال خان سعيد رحمن" sheetId="7" state="visible" r:id="rId7"/>
    <sheet name="محمد شاهجان جازى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9]d\-mmm\-yyyy;@"/>
    <numFmt numFmtId="165" formatCode="_-[$AED]* #,##0_-;\-[$AED]* #,##0_-;_-[$AED]* &quot;-&quot;_-;_-@_-"/>
    <numFmt numFmtId="166" formatCode="_-[$AED]* #,##0.00_-;\-[$AED]* #,##0.00_-;_-[$AED]* &quot;-&quot;??_-;_-@_-"/>
    <numFmt numFmtId="167" formatCode="_-&quot;AED&quot;* #,##0.00_-;\-&quot;AED&quot;* #,##0.00_-;_-&quot;AED&quot;* &quot;-&quot;??_-;_-@_-"/>
    <numFmt numFmtId="168" formatCode="[$-10000]dd/mm/yyyy;@"/>
    <numFmt numFmtId="169" formatCode="_([$AED]\ * #,##0_);_([$AED]\ * \(#,##0\);_([$AED]\ * &quot;-&quot;_);_(@_)"/>
    <numFmt numFmtId="170" formatCode="_(&quot;$&quot;* #,##0.00_);_(&quot;$&quot;* \(#,##0.00\);_(&quot;$&quot;* &quot;-&quot;??_);_(@_)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9" tint="-0.249946592608417"/>
      <sz val="26"/>
    </font>
    <font>
      <name val="Tahoma"/>
      <family val="2"/>
      <color theme="1"/>
      <sz val="14"/>
    </font>
    <font>
      <name val="Tahoma"/>
      <family val="2"/>
      <color theme="9" tint="-0.249946592608417"/>
      <sz val="14"/>
    </font>
    <font>
      <name val="Tahoma"/>
      <family val="2"/>
      <b val="1"/>
      <color rgb="FFFFFFFF"/>
      <sz val="14"/>
    </font>
    <font>
      <name val="Tahoma"/>
      <family val="2"/>
      <color rgb="FF000000"/>
      <sz val="14"/>
    </font>
    <font>
      <name val="Tahoma"/>
      <family val="2"/>
      <b val="1"/>
      <color theme="0"/>
      <sz val="14"/>
    </font>
    <font>
      <name val="Tahoma"/>
      <family val="2"/>
      <color theme="1"/>
      <sz val="11"/>
    </font>
    <font>
      <name val="Tahoma"/>
      <family val="2"/>
      <b val="1"/>
      <color theme="1"/>
      <sz val="14"/>
    </font>
    <font>
      <name val="Arial"/>
      <family val="2"/>
      <b val="1"/>
      <color theme="1"/>
      <sz val="14"/>
    </font>
    <font>
      <name val="Tahoma"/>
      <family val="2"/>
      <b val="1"/>
      <sz val="14"/>
    </font>
    <font>
      <name val="Segoe UI"/>
      <family val="2"/>
      <b val="1"/>
      <sz val="14"/>
    </font>
    <font>
      <name val="Tahoma"/>
      <family val="2"/>
      <b val="1"/>
      <color rgb="FF000000"/>
      <sz val="14"/>
    </font>
    <font>
      <name val="Tahoma"/>
      <family val="2"/>
      <b val="1"/>
      <color rgb="FFFF0000"/>
      <sz val="14"/>
    </font>
    <font>
      <name val="Tahoma"/>
      <family val="2"/>
      <b val="1"/>
      <color rgb="FF00B050"/>
      <sz val="14"/>
    </font>
    <font>
      <name val="Tahoma"/>
      <family val="2"/>
      <color theme="1"/>
      <sz val="10"/>
    </font>
  </fonts>
  <fills count="13">
    <fill>
      <patternFill/>
    </fill>
    <fill>
      <patternFill patternType="gray125"/>
    </fill>
    <fill>
      <patternFill patternType="solid">
        <fgColor theme="9" tint="0.5999938962981048"/>
        <bgColor indexed="65"/>
      </patternFill>
    </fill>
    <fill>
      <patternFill patternType="solid">
        <fgColor rgb="FF445B5E"/>
        <bgColor rgb="FF95AEB1"/>
      </patternFill>
    </fill>
    <fill>
      <patternFill patternType="solid">
        <fgColor rgb="FFD5DEDF"/>
        <bgColor rgb="FF000000"/>
      </patternFill>
    </fill>
    <fill>
      <patternFill patternType="solid">
        <fgColor theme="9" tint="-0.499984740745262"/>
        <bgColor theme="9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9"/>
        <bgColor theme="9"/>
      </patternFill>
    </fill>
    <fill>
      <patternFill patternType="solid">
        <fgColor theme="9" tint="0.3999450666829432"/>
        <bgColor indexed="64"/>
      </patternFill>
    </fill>
    <fill>
      <patternFill patternType="solid">
        <fgColor rgb="FFBECDC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 tint="0.49998474074526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1" fillId="0" borderId="0"/>
    <xf numFmtId="170" fontId="1" fillId="0" borderId="0"/>
    <xf numFmtId="0" fontId="2" fillId="0" borderId="0"/>
    <xf numFmtId="0" fontId="3" fillId="0" borderId="1"/>
    <xf numFmtId="0" fontId="4" fillId="0" borderId="2"/>
    <xf numFmtId="0" fontId="1" fillId="2" borderId="0"/>
    <xf numFmtId="14" fontId="11" fillId="0" borderId="0" applyAlignment="1">
      <alignment vertical="center" wrapText="1"/>
    </xf>
    <xf numFmtId="2" fontId="11" fillId="0" borderId="0" applyAlignment="1">
      <alignment horizontal="center" vertical="center"/>
    </xf>
    <xf numFmtId="0" fontId="13" fillId="0" borderId="5" applyAlignment="1">
      <alignment horizontal="center"/>
    </xf>
    <xf numFmtId="169" fontId="18" fillId="11" borderId="5" applyAlignment="1">
      <alignment horizontal="center" vertical="center" readingOrder="2"/>
    </xf>
  </cellStyleXfs>
  <cellXfs count="93">
    <xf numFmtId="0" fontId="0" fillId="0" borderId="0" pivotButton="0" quotePrefix="0" xfId="0"/>
    <xf numFmtId="0" fontId="8" fillId="3" borderId="3" applyAlignment="1" pivotButton="0" quotePrefix="0" xfId="0">
      <alignment horizontal="center" vertical="center" wrapText="1" readingOrder="2"/>
    </xf>
    <xf numFmtId="164" fontId="9" fillId="4" borderId="0" applyAlignment="1" pivotButton="0" quotePrefix="0" xfId="0">
      <alignment horizontal="center" vertical="center" wrapText="1" readingOrder="1"/>
    </xf>
    <xf numFmtId="0" fontId="10" fillId="5" borderId="4" applyAlignment="1" pivotButton="0" quotePrefix="0" xfId="0">
      <alignment horizontal="center" vertical="center" wrapText="1" readingOrder="2"/>
    </xf>
    <xf numFmtId="165" fontId="6" fillId="6" borderId="4" applyAlignment="1" pivotButton="0" quotePrefix="0" xfId="1">
      <alignment horizontal="center" vertical="center"/>
    </xf>
    <xf numFmtId="166" fontId="6" fillId="6" borderId="4" applyAlignment="1" pivotButton="0" quotePrefix="0" xfId="1">
      <alignment horizontal="center" vertical="center"/>
    </xf>
    <xf numFmtId="167" fontId="6" fillId="6" borderId="4" applyAlignment="1" pivotButton="0" quotePrefix="0" xfId="1">
      <alignment horizontal="center" vertical="center"/>
    </xf>
    <xf numFmtId="0" fontId="10" fillId="7" borderId="5" applyAlignment="1" pivotButton="0" quotePrefix="0" xfId="0">
      <alignment horizontal="center" vertical="center" readingOrder="2"/>
    </xf>
    <xf numFmtId="0" fontId="12" fillId="0" borderId="6" applyAlignment="1" pivotButton="0" quotePrefix="0" xfId="0">
      <alignment horizontal="center" vertical="center" readingOrder="2"/>
    </xf>
    <xf numFmtId="0" fontId="12" fillId="0" borderId="6" applyAlignment="1" pivotButton="0" quotePrefix="0" xfId="0">
      <alignment horizontal="center" vertical="center" wrapText="1" readingOrder="2"/>
    </xf>
    <xf numFmtId="0" fontId="12" fillId="0" borderId="6" applyAlignment="1" pivotButton="0" quotePrefix="0" xfId="0">
      <alignment horizontal="center" vertical="center" wrapText="1"/>
    </xf>
    <xf numFmtId="1" fontId="15" fillId="0" borderId="5" applyAlignment="1" pivotButton="0" quotePrefix="0" xfId="7">
      <alignment horizontal="center" vertical="center"/>
    </xf>
    <xf numFmtId="1" fontId="12" fillId="8" borderId="5" applyAlignment="1" pivotButton="0" quotePrefix="0" xfId="7">
      <alignment horizontal="center" vertical="center" readingOrder="2"/>
    </xf>
    <xf numFmtId="0" fontId="16" fillId="9" borderId="5" applyAlignment="1" pivotButton="0" quotePrefix="0" xfId="0">
      <alignment horizontal="center" vertical="center" readingOrder="2"/>
    </xf>
    <xf numFmtId="0" fontId="12" fillId="0" borderId="5" applyAlignment="1" pivotButton="0" quotePrefix="0" xfId="1">
      <alignment horizontal="center" vertical="center" readingOrder="2"/>
    </xf>
    <xf numFmtId="0" fontId="12" fillId="10" borderId="5" applyAlignment="1" pivotButton="0" quotePrefix="0" xfId="7">
      <alignment horizontal="center" vertical="center" readingOrder="2"/>
    </xf>
    <xf numFmtId="166" fontId="12" fillId="8" borderId="5" applyAlignment="1" pivotButton="0" quotePrefix="0" xfId="1">
      <alignment horizontal="center" vertical="center" readingOrder="2"/>
    </xf>
    <xf numFmtId="0" fontId="12" fillId="10" borderId="10" applyAlignment="1" pivotButton="0" quotePrefix="0" xfId="4">
      <alignment vertical="center" readingOrder="2"/>
    </xf>
    <xf numFmtId="0" fontId="14" fillId="10" borderId="13" applyAlignment="1" pivotButton="0" quotePrefix="0" xfId="3">
      <alignment wrapText="1" readingOrder="2"/>
    </xf>
    <xf numFmtId="0" fontId="0" fillId="10" borderId="0" pivotButton="0" quotePrefix="0" xfId="0"/>
    <xf numFmtId="14" fontId="12" fillId="10" borderId="0" applyAlignment="1" pivotButton="0" quotePrefix="0" xfId="4">
      <alignment horizontal="right" vertical="center" readingOrder="2"/>
    </xf>
    <xf numFmtId="0" fontId="12" fillId="10" borderId="0" applyAlignment="1" pivotButton="0" quotePrefix="0" xfId="4">
      <alignment horizontal="right" vertical="center" readingOrder="2"/>
    </xf>
    <xf numFmtId="0" fontId="12" fillId="10" borderId="13" applyAlignment="1" pivotButton="0" quotePrefix="0" xfId="0">
      <alignment vertical="center" wrapText="1" readingOrder="2"/>
    </xf>
    <xf numFmtId="0" fontId="14" fillId="10" borderId="13" applyAlignment="1" pivotButton="0" quotePrefix="0" xfId="3">
      <alignment vertical="center" wrapText="1" readingOrder="2"/>
    </xf>
    <xf numFmtId="1" fontId="19" fillId="11" borderId="5" applyAlignment="1" pivotButton="0" quotePrefix="0" xfId="7">
      <alignment horizontal="center" vertical="center" wrapText="1" readingOrder="2"/>
    </xf>
    <xf numFmtId="0" fontId="6" fillId="2" borderId="0" applyAlignment="1" pivotButton="0" quotePrefix="0" xfId="5">
      <alignment horizontal="center" vertical="center" wrapText="1"/>
    </xf>
    <xf numFmtId="0" fontId="13" fillId="11" borderId="5" applyAlignment="1" pivotButton="0" quotePrefix="0" xfId="0">
      <alignment horizontal="center"/>
    </xf>
    <xf numFmtId="0" fontId="13" fillId="0" borderId="5" applyAlignment="1" pivotButton="0" quotePrefix="0" xfId="0">
      <alignment horizontal="center"/>
    </xf>
    <xf numFmtId="0" fontId="12" fillId="11" borderId="5" applyAlignment="1" pivotButton="0" quotePrefix="0" xfId="0">
      <alignment horizontal="center" vertical="center"/>
    </xf>
    <xf numFmtId="1" fontId="12" fillId="0" borderId="5" applyAlignment="1" pivotButton="0" quotePrefix="0" xfId="7">
      <alignment horizontal="center" vertical="center" readingOrder="2"/>
    </xf>
    <xf numFmtId="1" fontId="19" fillId="0" borderId="5" applyAlignment="1" pivotButton="0" quotePrefix="0" xfId="7">
      <alignment horizontal="center" vertical="center" wrapText="1" readingOrder="2"/>
    </xf>
    <xf numFmtId="0" fontId="12" fillId="0" borderId="5" applyAlignment="1" pivotButton="0" quotePrefix="0" xfId="6">
      <alignment horizontal="center" vertical="center" readingOrder="2"/>
    </xf>
    <xf numFmtId="0" fontId="12" fillId="8" borderId="5" applyAlignment="1" pivotButton="0" quotePrefix="0" xfId="7">
      <alignment horizontal="center" vertical="center" readingOrder="2"/>
    </xf>
    <xf numFmtId="0" fontId="17" fillId="12" borderId="14" applyAlignment="1" pivotButton="0" quotePrefix="0" xfId="4">
      <alignment horizontal="center" vertical="center" wrapText="1" readingOrder="2"/>
    </xf>
    <xf numFmtId="1" fontId="12" fillId="0" borderId="5" applyAlignment="1" pivotButton="0" quotePrefix="0" xfId="7">
      <alignment horizontal="center" vertical="center"/>
    </xf>
    <xf numFmtId="0" fontId="12" fillId="12" borderId="14" applyAlignment="1" pivotButton="0" quotePrefix="0" xfId="4">
      <alignment horizontal="center" vertical="center" readingOrder="2"/>
    </xf>
    <xf numFmtId="0" fontId="16" fillId="0" borderId="5" applyAlignment="1" pivotButton="0" quotePrefix="0" xfId="0">
      <alignment horizontal="center" vertical="center" readingOrder="1"/>
    </xf>
    <xf numFmtId="168" fontId="12" fillId="6" borderId="5" applyAlignment="1" pivotButton="0" quotePrefix="0" xfId="6">
      <alignment horizontal="center" vertical="center" readingOrder="2"/>
    </xf>
    <xf numFmtId="168" fontId="12" fillId="0" borderId="5" applyAlignment="1" pivotButton="0" quotePrefix="0" xfId="6">
      <alignment horizontal="center" vertical="center" readingOrder="2"/>
    </xf>
    <xf numFmtId="169" fontId="12" fillId="8" borderId="5" applyAlignment="1" pivotButton="0" quotePrefix="0" xfId="7">
      <alignment horizontal="center" vertical="center" readingOrder="2"/>
    </xf>
    <xf numFmtId="169" fontId="12" fillId="0" borderId="5" applyAlignment="1" pivotButton="0" quotePrefix="0" xfId="1">
      <alignment horizontal="center" vertical="center" readingOrder="2"/>
    </xf>
    <xf numFmtId="169" fontId="17" fillId="0" borderId="5" applyAlignment="1" pivotButton="0" quotePrefix="0" xfId="1">
      <alignment horizontal="center" vertical="center" readingOrder="2"/>
    </xf>
    <xf numFmtId="169" fontId="18" fillId="11" borderId="5" applyAlignment="1" pivotButton="0" quotePrefix="0" xfId="1">
      <alignment horizontal="center" vertical="center" readingOrder="2"/>
    </xf>
    <xf numFmtId="0" fontId="0" fillId="0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0" applyAlignment="1" pivotButton="0" quotePrefix="0" xfId="2">
      <alignment horizontal="center" vertical="center" readingOrder="2"/>
    </xf>
    <xf numFmtId="0" fontId="12" fillId="8" borderId="5" applyAlignment="1" pivotButton="0" quotePrefix="0" xfId="1">
      <alignment horizontal="center" vertical="center" readingOrder="2"/>
    </xf>
    <xf numFmtId="0" fontId="0" fillId="0" borderId="8" pivotButton="0" quotePrefix="0" xfId="0"/>
    <xf numFmtId="0" fontId="0" fillId="0" borderId="9" pivotButton="0" quotePrefix="0" xfId="0"/>
    <xf numFmtId="167" fontId="12" fillId="0" borderId="5" applyAlignment="1" pivotButton="0" quotePrefix="0" xfId="1">
      <alignment horizontal="center" vertical="center" readingOrder="2"/>
    </xf>
    <xf numFmtId="0" fontId="0" fillId="0" borderId="7" pivotButton="0" quotePrefix="0" xfId="0"/>
    <xf numFmtId="0" fontId="2" fillId="10" borderId="0" applyAlignment="1" pivotButton="0" quotePrefix="0" xfId="2">
      <alignment horizontal="center" vertical="center" readingOrder="2"/>
    </xf>
    <xf numFmtId="0" fontId="6" fillId="10" borderId="11" applyAlignment="1" pivotButton="0" quotePrefix="0" xfId="0">
      <alignment horizontal="center" vertical="center" wrapText="1" readingOrder="2"/>
    </xf>
    <xf numFmtId="0" fontId="0" fillId="0" borderId="11" pivotButton="0" quotePrefix="0" xfId="0"/>
    <xf numFmtId="0" fontId="12" fillId="12" borderId="5" applyAlignment="1" pivotButton="0" quotePrefix="0" xfId="4">
      <alignment horizontal="center" vertical="center" readingOrder="2"/>
    </xf>
    <xf numFmtId="0" fontId="6" fillId="1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7" fillId="10" borderId="0" applyAlignment="1" pivotButton="0" quotePrefix="0" xfId="2">
      <alignment horizontal="center" vertical="center" readingOrder="2"/>
    </xf>
    <xf numFmtId="0" fontId="12" fillId="2" borderId="15" applyAlignment="1" pivotButton="0" quotePrefix="0" xfId="5">
      <alignment horizontal="center" vertical="center" wrapText="1"/>
    </xf>
    <xf numFmtId="0" fontId="0" fillId="10" borderId="0" applyAlignment="1" pivotButton="0" quotePrefix="0" xfId="0">
      <alignment horizontal="center" vertical="center" wrapText="1" readingOrder="2"/>
    </xf>
    <xf numFmtId="167" fontId="6" fillId="6" borderId="4" applyAlignment="1" pivotButton="0" quotePrefix="0" xfId="1">
      <alignment horizontal="center" vertical="center"/>
    </xf>
    <xf numFmtId="168" fontId="12" fillId="6" borderId="5" applyAlignment="1" pivotButton="0" quotePrefix="0" xfId="6">
      <alignment horizontal="center" vertical="center" readingOrder="2"/>
    </xf>
    <xf numFmtId="168" fontId="12" fillId="0" borderId="5" applyAlignment="1" pivotButton="0" quotePrefix="0" xfId="6">
      <alignment horizontal="center" vertical="center" readingOrder="2"/>
    </xf>
    <xf numFmtId="169" fontId="12" fillId="8" borderId="5" applyAlignment="1" pivotButton="0" quotePrefix="0" xfId="7">
      <alignment horizontal="center" vertical="center" readingOrder="2"/>
    </xf>
    <xf numFmtId="169" fontId="12" fillId="0" borderId="5" applyAlignment="1" pivotButton="0" quotePrefix="0" xfId="1">
      <alignment horizontal="center" vertical="center" readingOrder="2"/>
    </xf>
    <xf numFmtId="169" fontId="17" fillId="0" borderId="5" applyAlignment="1" pivotButton="0" quotePrefix="0" xfId="1">
      <alignment horizontal="center" vertical="center" readingOrder="2"/>
    </xf>
    <xf numFmtId="167" fontId="12" fillId="0" borderId="5" applyAlignment="1" pivotButton="0" quotePrefix="0" xfId="1">
      <alignment horizontal="center" vertical="center" readingOrder="2"/>
    </xf>
    <xf numFmtId="169" fontId="18" fillId="11" borderId="5" applyAlignment="1" pivotButton="0" quotePrefix="0" xfId="1">
      <alignment horizontal="center" vertical="center" readingOrder="2"/>
    </xf>
    <xf numFmtId="0" fontId="13" fillId="11" borderId="5" applyAlignment="1" applyProtection="1" pivotButton="0" quotePrefix="0" xfId="0">
      <alignment horizontal="center"/>
      <protection locked="0" hidden="0"/>
    </xf>
    <xf numFmtId="1" fontId="19" fillId="11" borderId="5" applyAlignment="1" applyProtection="1" pivotButton="0" quotePrefix="0" xfId="7">
      <alignment horizontal="center" vertical="center" wrapText="1" readingOrder="2"/>
      <protection locked="0" hidden="0"/>
    </xf>
    <xf numFmtId="0" fontId="0" fillId="0" borderId="16" applyAlignment="1" applyProtection="1" pivotButton="0" quotePrefix="0" xfId="0">
      <alignment wrapText="1"/>
      <protection locked="0" hidden="0"/>
    </xf>
    <xf numFmtId="0" fontId="13" fillId="0" borderId="5" applyAlignment="1" applyProtection="1" pivotButton="0" quotePrefix="0" xfId="0">
      <alignment horizontal="center"/>
      <protection locked="0" hidden="0"/>
    </xf>
    <xf numFmtId="1" fontId="15" fillId="0" borderId="5" applyAlignment="1" applyProtection="1" pivotButton="0" quotePrefix="0" xfId="7">
      <alignment horizontal="center" vertical="center"/>
      <protection locked="0" hidden="0"/>
    </xf>
    <xf numFmtId="1" fontId="12" fillId="0" borderId="5" applyAlignment="1" applyProtection="1" pivotButton="0" quotePrefix="0" xfId="7">
      <alignment horizontal="center" vertical="center" readingOrder="2"/>
      <protection locked="0" hidden="0"/>
    </xf>
    <xf numFmtId="1" fontId="12" fillId="0" borderId="5" applyAlignment="1" applyProtection="1" pivotButton="0" quotePrefix="0" xfId="7">
      <alignment horizontal="center" vertical="center"/>
      <protection locked="0" hidden="0"/>
    </xf>
    <xf numFmtId="1" fontId="19" fillId="0" borderId="5" applyAlignment="1" applyProtection="1" pivotButton="0" quotePrefix="0" xfId="7">
      <alignment horizontal="center" vertical="center" wrapText="1" readingOrder="2"/>
      <protection locked="0" hidden="0"/>
    </xf>
    <xf numFmtId="0" fontId="12" fillId="0" borderId="5" applyAlignment="1" applyProtection="1" pivotButton="0" quotePrefix="0" xfId="6">
      <alignment horizontal="center" vertical="center" readingOrder="2"/>
      <protection locked="0" hidden="0"/>
    </xf>
    <xf numFmtId="0" fontId="0" fillId="0" borderId="7" applyProtection="1" pivotButton="0" quotePrefix="0" xfId="0">
      <protection locked="0" hidden="0"/>
    </xf>
    <xf numFmtId="1" fontId="12" fillId="8" borderId="5" applyAlignment="1" applyProtection="1" pivotButton="0" quotePrefix="0" xfId="7">
      <alignment horizontal="center" vertical="center" readingOrder="2"/>
      <protection locked="0" hidden="0"/>
    </xf>
    <xf numFmtId="0" fontId="12" fillId="8" borderId="5" applyAlignment="1" applyProtection="1" pivotButton="0" quotePrefix="0" xfId="7">
      <alignment horizontal="center" vertical="center" readingOrder="2"/>
      <protection locked="0" hidden="0"/>
    </xf>
    <xf numFmtId="169" fontId="12" fillId="8" borderId="5" applyAlignment="1" applyProtection="1" pivotButton="0" quotePrefix="0" xfId="7">
      <alignment horizontal="center" vertical="center" readingOrder="2"/>
      <protection locked="0" hidden="0"/>
    </xf>
    <xf numFmtId="0" fontId="0" fillId="0" borderId="0" applyProtection="1" pivotButton="0" quotePrefix="0" xfId="0">
      <protection locked="0" hidden="0"/>
    </xf>
    <xf numFmtId="0" fontId="12" fillId="0" borderId="5" applyAlignment="1" applyProtection="1" pivotButton="0" quotePrefix="0" xfId="1">
      <alignment horizontal="center" vertical="center" readingOrder="2"/>
      <protection locked="0" hidden="0"/>
    </xf>
    <xf numFmtId="0" fontId="16" fillId="0" borderId="5" applyAlignment="1" applyProtection="1" pivotButton="0" quotePrefix="0" xfId="0">
      <alignment horizontal="center" vertical="center" readingOrder="1"/>
      <protection locked="0" hidden="0"/>
    </xf>
    <xf numFmtId="169" fontId="12" fillId="0" borderId="5" applyAlignment="1" applyProtection="1" pivotButton="0" quotePrefix="0" xfId="1">
      <alignment horizontal="center" vertical="center" readingOrder="2"/>
      <protection locked="0" hidden="0"/>
    </xf>
    <xf numFmtId="169" fontId="17" fillId="0" borderId="5" applyAlignment="1" applyProtection="1" pivotButton="0" quotePrefix="0" xfId="1">
      <alignment horizontal="center" vertical="center" readingOrder="2"/>
      <protection locked="0" hidden="0"/>
    </xf>
    <xf numFmtId="0" fontId="12" fillId="10" borderId="5" applyAlignment="1" applyProtection="1" pivotButton="0" quotePrefix="0" xfId="7">
      <alignment horizontal="center" vertical="center" readingOrder="2"/>
      <protection locked="0" hidden="0"/>
    </xf>
    <xf numFmtId="166" fontId="12" fillId="8" borderId="5" applyAlignment="1" applyProtection="1" pivotButton="0" quotePrefix="0" xfId="1">
      <alignment horizontal="center" vertical="center" readingOrder="2"/>
      <protection locked="0" hidden="0"/>
    </xf>
    <xf numFmtId="14" fontId="12" fillId="10" borderId="0" applyAlignment="1" applyProtection="1" pivotButton="0" quotePrefix="0" xfId="4">
      <alignment horizontal="right" vertical="center" readingOrder="2"/>
      <protection locked="0" hidden="0"/>
    </xf>
    <xf numFmtId="0" fontId="12" fillId="10" borderId="0" applyAlignment="1" applyProtection="1" pivotButton="0" quotePrefix="0" xfId="4">
      <alignment horizontal="right" vertical="center" readingOrder="2"/>
      <protection locked="0" hidden="0"/>
    </xf>
    <xf numFmtId="0" fontId="12" fillId="10" borderId="13" applyAlignment="1" applyProtection="1" pivotButton="0" quotePrefix="0" xfId="0">
      <alignment vertical="center" wrapText="1" readingOrder="2"/>
      <protection locked="0" hidden="0"/>
    </xf>
    <xf numFmtId="0" fontId="14" fillId="10" borderId="13" applyAlignment="1" applyProtection="1" pivotButton="0" quotePrefix="0" xfId="3">
      <alignment wrapText="1" readingOrder="2"/>
      <protection locked="0" hidden="0"/>
    </xf>
    <xf numFmtId="0" fontId="0" fillId="10" borderId="0" applyProtection="1" pivotButton="0" quotePrefix="0" xfId="0">
      <protection locked="0" hidden="0"/>
    </xf>
  </cellXfs>
  <cellStyles count="10">
    <cellStyle name="Normal" xfId="0" builtinId="0"/>
    <cellStyle name="Currency" xfId="1" builtinId="4"/>
    <cellStyle name="Title" xfId="2" builtinId="15"/>
    <cellStyle name="Heading 2" xfId="3" builtinId="17"/>
    <cellStyle name="Total" xfId="4" builtinId="25"/>
    <cellStyle name="40% - Accent6" xfId="5" builtinId="51"/>
    <cellStyle name="التاريخ" xfId="6"/>
    <cellStyle name="الساعات" xfId="7"/>
    <cellStyle name="Style 1" xfId="8"/>
    <cellStyle name="Style 2" xfId="9"/>
  </cellStyles>
  <dxfs count="1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medium">
          <color rgb="FFCCCCCC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ahoma"/>
        <family val="2"/>
        <b val="1"/>
        <strike val="0"/>
        <outline val="0"/>
        <shadow val="0"/>
        <color auto="1"/>
        <sz val="10"/>
        <vertAlign val="baseline"/>
      </font>
      <numFmt numFmtId="1" formatCode="0"/>
      <fill>
        <patternFill>
          <fgColor indexed="64"/>
          <bgColor indexed="65"/>
        </patternFill>
      </fill>
      <alignment horizontal="center" vertical="center" wrapText="1" readingOrder="2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thin">
          <color indexed="64"/>
        </left>
        <right style="medium">
          <color rgb="FFCCCCCC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medium">
          <color rgb="FFCCCCCC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condense val="0"/>
        <color auto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thin">
          <color indexed="64"/>
        </left>
        <right style="medium">
          <color rgb="FFCCCCCC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sz val="14"/>
        <vertAlign val="baseline"/>
      </font>
      <numFmt numFmtId="0" formatCode="General"/>
      <alignment horizontal="center" vertical="center" readingOrder="2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بطاقة_الوقت4517" displayName="بطاقة_الوقت4517" ref="B6:I37" headerRowCount="1" headerRowDxfId="12" dataDxfId="11" totalsRowDxfId="10">
  <tableColumns count="8">
    <tableColumn id="2" name="الحضور" dataDxfId="9" dataCellStyle="التاريخ"/>
    <tableColumn id="3" name="ساعات العمل " totalsRowFunction="custom" dataDxfId="8" dataCellStyle="الساعات">
      <calculatedColumnFormula>IF(OR(B7="W", B7="SL", B7="P", B7="H"), 8, "")</calculatedColumnFormula>
      <totalsRowFormula>SUM(C7:C37)</totalsRowFormula>
    </tableColumn>
    <tableColumn id="4" name="ساعات العمل الإضافية " totalsRowFunction="custom" dataDxfId="7" dataCellStyle="الساعات">
      <totalsRowFormula>SUM(D7:D37)</totalsRowFormula>
    </tableColumn>
    <tableColumn id="6" name="ساعات العمل خلال الإجازة" totalsRowFunction="custom" dataDxfId="6" dataCellStyle="الساعات">
      <totalsRowFormula>SUM(E7:E37)</totalsRowFormula>
    </tableColumn>
    <tableColumn id="8" name="ساعات العمل بالمناسبات الرسمية " dataDxfId="5" dataCellStyle="الساعات"/>
    <tableColumn id="5" name="إجازة مرضية" totalsRowFunction="custom" dataDxfId="4" dataCellStyle="الساعات">
      <calculatedColumnFormula>IF(B7="SL","SL","")</calculatedColumnFormula>
      <totalsRowFormula>SUM(G7:G37)</totalsRowFormula>
    </tableColumn>
    <tableColumn id="7" name="المشروع" totalsRowFunction="sum" dataDxfId="3" dataCellStyle="الساعات"/>
    <tableColumn id="9" name="الاجمالي" dataDxfId="2" dataCellStyle="الساعات">
      <calculatedColumnFormula>IFERROR(IF(SUM(C7:G7)&gt;24,"إجمالي &gt; 24 ساعة.",SUM(C7:G7)), "")</calculatedColumnFormula>
    </tableColumn>
  </tableColumns>
  <tableStyleInfo name="TableStyleLight14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abd">
      <a:dk1>
        <a:sysClr val="windowText" lastClr="000000"/>
      </a:dk1>
      <a:lt1>
        <a:sysClr val="window" lastClr="FFFFFF"/>
      </a:lt1>
      <a:dk2>
        <a:srgbClr val="4A606E"/>
      </a:dk2>
      <a:lt2>
        <a:srgbClr val="D1FFE3"/>
      </a:lt2>
      <a:accent1>
        <a:srgbClr val="79B5B0"/>
      </a:accent1>
      <a:accent2>
        <a:srgbClr val="B4BC4C"/>
      </a:accent2>
      <a:accent3>
        <a:srgbClr val="B77851"/>
      </a:accent3>
      <a:accent4>
        <a:srgbClr val="776A5B"/>
      </a:accent4>
      <a:accent5>
        <a:srgbClr val="B6AD76"/>
      </a:accent5>
      <a:accent6>
        <a:srgbClr val="95AEB1"/>
      </a:accent6>
      <a:hlink>
        <a:srgbClr val="3ECCED"/>
      </a:hlink>
      <a:folHlink>
        <a:srgbClr val="2C6C93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rightToLeft="1" tabSelected="1" topLeftCell="A3" workbookViewId="0">
      <selection activeCell="B43" sqref="B43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n"/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Abdullah Ghazi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0" customHeight="1" s="44">
      <c r="A7" s="61" t="n"/>
      <c r="B7" s="26" t="n"/>
      <c r="C7" s="26" t="n"/>
      <c r="D7" s="26" t="n"/>
      <c r="E7" s="26" t="n"/>
      <c r="F7" s="26" t="n"/>
      <c r="G7" s="26" t="n"/>
      <c r="H7" s="24" t="n"/>
      <c r="I7" s="28">
        <f>IFERROR(IF(SUM(C7:G7)&gt;24,"إجمالي &gt; 24 ساعة.",SUM(C7:G7)), "")</f>
        <v/>
      </c>
      <c r="J7" s="43" t="n"/>
    </row>
    <row r="8" ht="30" customHeight="1" s="44">
      <c r="A8" s="62" t="n"/>
      <c r="B8" s="27" t="n"/>
      <c r="C8" s="11" t="n"/>
      <c r="D8" s="27" t="n"/>
      <c r="E8" s="29" t="n"/>
      <c r="F8" s="34" t="n"/>
      <c r="G8" s="29">
        <f>IF(B8="SL","SL","")</f>
        <v/>
      </c>
      <c r="H8" s="30" t="n"/>
      <c r="I8" s="34">
        <f>IFERROR(IF(SUM(C8:G8)&gt;24,"إجمالي &gt; 24 ساعة.",SUM(C8:G8)), "")</f>
        <v/>
      </c>
      <c r="J8" s="43" t="n"/>
    </row>
    <row r="9" ht="30" customHeight="1" s="44">
      <c r="A9" s="61" t="n"/>
      <c r="B9" s="26" t="n"/>
      <c r="C9" s="26" t="n"/>
      <c r="D9" s="26" t="n"/>
      <c r="E9" s="26" t="n"/>
      <c r="F9" s="26" t="n"/>
      <c r="G9" s="26">
        <f>IF(B9="SL","SL","")</f>
        <v/>
      </c>
      <c r="H9" s="24" t="n"/>
      <c r="I9" s="28">
        <f>IFERROR(IF(SUM(C9:G9)&gt;24,"إجمالي &gt; 24 ساعة.",SUM(C9:G9)), "")</f>
        <v/>
      </c>
      <c r="J9" s="43" t="n"/>
    </row>
    <row r="10" ht="30" customHeight="1" s="44">
      <c r="A10" s="62" t="n"/>
      <c r="B10" s="27" t="n"/>
      <c r="C10" s="11" t="n"/>
      <c r="D10" s="27" t="n"/>
      <c r="E10" s="29" t="n"/>
      <c r="F10" s="34" t="n"/>
      <c r="G10" s="29">
        <f>IF(B10="SL","SL","")</f>
        <v/>
      </c>
      <c r="H10" s="30" t="n"/>
      <c r="I10" s="34">
        <f>IFERROR(IF(SUM(C10:G10)&gt;24,"إجمالي &gt; 24 ساعة.",SUM(C10:G10)), "")</f>
        <v/>
      </c>
      <c r="J10" s="43" t="n"/>
    </row>
    <row r="11" ht="30" customHeight="1" s="44">
      <c r="A11" s="61" t="n"/>
      <c r="B11" s="26" t="n"/>
      <c r="C11" s="26" t="n"/>
      <c r="D11" s="26" t="n"/>
      <c r="E11" s="26" t="n"/>
      <c r="F11" s="26" t="n"/>
      <c r="G11" s="26">
        <f>IF(B11="SL","SL","")</f>
        <v/>
      </c>
      <c r="H11" s="24" t="n"/>
      <c r="I11" s="28">
        <f>IFERROR(IF(SUM(C11:G11)&gt;24,"إجمالي &gt; 24 ساعة.",SUM(C11:G11)), "")</f>
        <v/>
      </c>
      <c r="J11" s="43" t="n"/>
    </row>
    <row r="12" ht="30" customHeight="1" s="44">
      <c r="A12" s="62" t="n"/>
      <c r="B12" s="27" t="n"/>
      <c r="C12" s="11" t="n"/>
      <c r="D12" s="27" t="n"/>
      <c r="E12" s="29" t="n"/>
      <c r="F12" s="34" t="n"/>
      <c r="G12" s="29">
        <f>IF(B12="SL","SL","")</f>
        <v/>
      </c>
      <c r="H12" s="30" t="n"/>
      <c r="I12" s="34">
        <f>IFERROR(IF(SUM(C12:G12)&gt;24,"إجمالي &gt; 24 ساعة.",SUM(C12:G12)), "")</f>
        <v/>
      </c>
      <c r="J12" s="43" t="n"/>
    </row>
    <row r="13" ht="30" customHeight="1" s="44">
      <c r="A13" s="62" t="n"/>
      <c r="B13" s="26" t="n"/>
      <c r="C13" s="26" t="n"/>
      <c r="D13" s="26" t="n"/>
      <c r="E13" s="26" t="n"/>
      <c r="F13" s="26" t="n"/>
      <c r="G13" s="26">
        <f>IF(B13="SL","SL","")</f>
        <v/>
      </c>
      <c r="H13" s="24" t="n"/>
      <c r="I13" s="28">
        <f>IFERROR(IF(SUM(C13:G13)&gt;24,"إجمالي &gt; 24 ساعة.",SUM(C13:G13)), "")</f>
        <v/>
      </c>
      <c r="J13" s="43" t="n"/>
    </row>
    <row r="14" ht="30" customHeight="1" s="44">
      <c r="A14" s="62" t="n"/>
      <c r="B14" s="27" t="n"/>
      <c r="C14" s="11" t="n"/>
      <c r="D14" s="27" t="n"/>
      <c r="E14" s="34" t="n"/>
      <c r="F14" s="34" t="n"/>
      <c r="G14" s="29">
        <f>IF(B14="SL","SL","")</f>
        <v/>
      </c>
      <c r="H14" s="30" t="n"/>
      <c r="I14" s="34">
        <f>IFERROR(IF(SUM(C14:G14)&gt;24,"إجمالي &gt; 24 ساعة.",SUM(C14:G14)), "")</f>
        <v/>
      </c>
      <c r="J14" s="43" t="n"/>
    </row>
    <row r="15" ht="30" customHeight="1" s="44">
      <c r="A15" s="61" t="n"/>
      <c r="B15" s="26" t="n"/>
      <c r="C15" s="26" t="n"/>
      <c r="D15" s="26" t="n"/>
      <c r="E15" s="26" t="n"/>
      <c r="F15" s="26" t="n"/>
      <c r="G15" s="26">
        <f>IF(B15="SL","SL","")</f>
        <v/>
      </c>
      <c r="H15" s="24" t="n"/>
      <c r="I15" s="28">
        <f>IFERROR(IF(SUM(C15:G15)&gt;24,"إجمالي &gt; 24 ساعة.",SUM(C15:G15)), "")</f>
        <v/>
      </c>
      <c r="J15" s="43" t="n"/>
    </row>
    <row r="16" ht="30" customHeight="1" s="44">
      <c r="A16" s="62" t="n"/>
      <c r="B16" s="27" t="n"/>
      <c r="C16" s="11" t="n"/>
      <c r="D16" s="27" t="n"/>
      <c r="E16" s="34" t="n"/>
      <c r="F16" s="34" t="n"/>
      <c r="G16" s="29">
        <f>IF(B16="SL","SL","")</f>
        <v/>
      </c>
      <c r="H16" s="30" t="n"/>
      <c r="I16" s="34">
        <f>IFERROR(IF(SUM(C16:G16)&gt;24,"إجمالي &gt; 24 ساعة.",SUM(C16:G16)), "")</f>
        <v/>
      </c>
      <c r="J16" s="43" t="n"/>
    </row>
    <row r="17" ht="30" customHeight="1" s="44">
      <c r="A17" s="61" t="n"/>
      <c r="B17" s="26" t="n"/>
      <c r="C17" s="26" t="n"/>
      <c r="D17" s="26" t="n"/>
      <c r="E17" s="26" t="n"/>
      <c r="F17" s="26" t="n"/>
      <c r="G17" s="26">
        <f>IF(B17="SL","SL","")</f>
        <v/>
      </c>
      <c r="H17" s="24" t="n"/>
      <c r="I17" s="28">
        <f>IFERROR(IF(SUM(C17:G17)&gt;24,"إجمالي &gt; 24 ساعة.",SUM(C17:G17)), "")</f>
        <v/>
      </c>
      <c r="J17" s="43" t="n"/>
    </row>
    <row r="18" ht="30" customHeight="1" s="44">
      <c r="A18" s="62" t="n"/>
      <c r="B18" s="27" t="n"/>
      <c r="C18" s="11" t="n"/>
      <c r="D18" s="27" t="n"/>
      <c r="E18" s="34" t="n"/>
      <c r="F18" s="34" t="n"/>
      <c r="G18" s="29">
        <f>IF(B18="SL","SL","")</f>
        <v/>
      </c>
      <c r="H18" s="30" t="n"/>
      <c r="I18" s="34">
        <f>IFERROR(IF(SUM(C18:G18)&gt;24,"إجمالي &gt; 24 ساعة.",SUM(C18:G18)), "")</f>
        <v/>
      </c>
      <c r="J18" s="43" t="n"/>
    </row>
    <row r="19" ht="30" customHeight="1" s="44">
      <c r="A19" s="61" t="n"/>
      <c r="B19" s="26" t="n"/>
      <c r="C19" s="26" t="n"/>
      <c r="D19" s="26" t="n"/>
      <c r="E19" s="26" t="n"/>
      <c r="F19" s="26" t="n"/>
      <c r="G19" s="26">
        <f>IF(B19="SL","SL","")</f>
        <v/>
      </c>
      <c r="H19" s="24" t="n"/>
      <c r="I19" s="28">
        <f>IFERROR(IF(SUM(C19:G19)&gt;24,"إجمالي &gt; 24 ساعة.",SUM(C19:G19)), "")</f>
        <v/>
      </c>
      <c r="J19" s="43" t="n"/>
    </row>
    <row r="20" ht="30" customHeight="1" s="44">
      <c r="A20" s="62" t="n"/>
      <c r="B20" s="27" t="n"/>
      <c r="C20" s="11" t="n"/>
      <c r="D20" s="27" t="n"/>
      <c r="E20" s="34" t="n"/>
      <c r="F20" s="34" t="n"/>
      <c r="G20" s="29">
        <f>IF(B20="SL","SL","")</f>
        <v/>
      </c>
      <c r="H20" s="30" t="n"/>
      <c r="I20" s="34">
        <f>IFERROR(IF(SUM(C20:G20)&gt;24,"إجمالي &gt; 24 ساعة.",SUM(C20:G20)), "")</f>
        <v/>
      </c>
      <c r="J20" s="43" t="n"/>
    </row>
    <row r="21" ht="30" customHeight="1" s="44">
      <c r="A21" s="61" t="n"/>
      <c r="B21" s="26" t="n"/>
      <c r="C21" s="26" t="n"/>
      <c r="D21" s="26" t="n"/>
      <c r="E21" s="26" t="n"/>
      <c r="F21" s="26" t="n"/>
      <c r="G21" s="26">
        <f>IF(B21="SL","SL","")</f>
        <v/>
      </c>
      <c r="H21" s="24" t="n"/>
      <c r="I21" s="28">
        <f>IFERROR(IF(SUM(C21:G21)&gt;24,"إجمالي &gt; 24 ساعة.",SUM(C21:G21)), "")</f>
        <v/>
      </c>
      <c r="J21" s="43" t="n"/>
    </row>
    <row r="22" ht="30" customHeight="1" s="44">
      <c r="A22" s="62" t="n"/>
      <c r="B22" s="27" t="n"/>
      <c r="C22" s="11" t="n"/>
      <c r="D22" s="27" t="n"/>
      <c r="E22" s="34" t="n"/>
      <c r="F22" s="34" t="n"/>
      <c r="G22" s="29">
        <f>IF(B21="SL","SL","")</f>
        <v/>
      </c>
      <c r="H22" s="30" t="n"/>
      <c r="I22" s="34">
        <f>IFERROR(IF(SUM(C21:G21)&gt;24,"إجمالي &gt; 24 ساعة.",SUM(C21:G21)), "")</f>
        <v/>
      </c>
      <c r="J22" s="43" t="n"/>
    </row>
    <row r="23" ht="30" customHeight="1" s="44">
      <c r="A23" s="61" t="n"/>
      <c r="B23" s="26" t="n"/>
      <c r="C23" s="26" t="n"/>
      <c r="D23" s="26" t="n"/>
      <c r="E23" s="26" t="n"/>
      <c r="F23" s="26" t="n"/>
      <c r="G23" s="26">
        <f>IF(B23="SL","SL","")</f>
        <v/>
      </c>
      <c r="H23" s="24" t="n"/>
      <c r="I23" s="28">
        <f>IFERROR(IF(SUM(C23:G23)&gt;24,"إجمالي &gt; 24 ساعة.",SUM(C23:G23)), "")</f>
        <v/>
      </c>
      <c r="J23" s="43" t="n"/>
    </row>
    <row r="24" ht="30" customHeight="1" s="44">
      <c r="A24" s="62" t="n"/>
      <c r="B24" s="27" t="n"/>
      <c r="C24" s="11" t="n"/>
      <c r="D24" s="27" t="n"/>
      <c r="E24" s="34" t="n"/>
      <c r="F24" s="34" t="n"/>
      <c r="G24" s="29">
        <f>IF(B24="SL","SL","")</f>
        <v/>
      </c>
      <c r="H24" s="30" t="n"/>
      <c r="I24" s="34">
        <f>IFERROR(IF(SUM(C24:G24)&gt;24,"إجمالي &gt; 24 ساعة.",SUM(C24:G24)), "")</f>
        <v/>
      </c>
      <c r="J24" s="43" t="n"/>
    </row>
    <row r="25" ht="30" customHeight="1" s="44">
      <c r="A25" s="61" t="n"/>
      <c r="B25" s="26" t="n"/>
      <c r="C25" s="26" t="n"/>
      <c r="D25" s="26" t="n"/>
      <c r="E25" s="26" t="n"/>
      <c r="F25" s="26" t="n"/>
      <c r="G25" s="26">
        <f>IF(B25="SL","SL","")</f>
        <v/>
      </c>
      <c r="H25" s="24" t="n"/>
      <c r="I25" s="28">
        <f>IFERROR(IF(SUM(C25:G25)&gt;24,"إجمالي &gt; 24 ساعة.",SUM(C25:G25)), "")</f>
        <v/>
      </c>
      <c r="J25" s="43" t="n"/>
    </row>
    <row r="26" ht="30" customHeight="1" s="44">
      <c r="A26" s="62" t="n"/>
      <c r="B26" s="27" t="n"/>
      <c r="C26" s="11" t="n"/>
      <c r="D26" s="27" t="n"/>
      <c r="E26" s="34" t="n"/>
      <c r="F26" s="34" t="n"/>
      <c r="G26" s="29">
        <f>IF(B26="SL","SL","")</f>
        <v/>
      </c>
      <c r="H26" s="30" t="n"/>
      <c r="I26" s="34">
        <f>IFERROR(IF(SUM(C26:G26)&gt;24,"إجمالي &gt; 24 ساعة.",SUM(C26:G26)), "")</f>
        <v/>
      </c>
      <c r="J26" s="43" t="n"/>
    </row>
    <row r="27" ht="30" customHeight="1" s="44">
      <c r="A27" s="61" t="n"/>
      <c r="B27" s="26" t="n"/>
      <c r="C27" s="26" t="n"/>
      <c r="D27" s="26" t="n"/>
      <c r="E27" s="26" t="n"/>
      <c r="F27" s="26" t="n"/>
      <c r="G27" s="26">
        <f>IF(B27="SL","SL","")</f>
        <v/>
      </c>
      <c r="H27" s="24" t="n"/>
      <c r="I27" s="28">
        <f>IFERROR(IF(SUM(C27:G27)&gt;24,"إجمالي &gt; 24 ساعة.",SUM(C27:G27)), "")</f>
        <v/>
      </c>
      <c r="J27" s="43" t="n"/>
    </row>
    <row r="28" ht="30" customHeight="1" s="44">
      <c r="A28" s="62" t="n"/>
      <c r="B28" s="27" t="n"/>
      <c r="C28" s="11" t="n"/>
      <c r="D28" s="27" t="n"/>
      <c r="E28" s="34" t="n"/>
      <c r="F28" s="34" t="n"/>
      <c r="G28" s="29">
        <f>IF(B28="SL","SL","")</f>
        <v/>
      </c>
      <c r="H28" s="30" t="n"/>
      <c r="I28" s="34">
        <f>IFERROR(IF(SUM(C28:G28)&gt;24,"إجمالي &gt; 24 ساعة.",SUM(C28:G28)), "")</f>
        <v/>
      </c>
      <c r="J28" s="43" t="n"/>
    </row>
    <row r="29" ht="30" customHeight="1" s="44">
      <c r="A29" s="61" t="n"/>
      <c r="B29" s="26" t="n"/>
      <c r="C29" s="26" t="n"/>
      <c r="D29" s="26" t="n"/>
      <c r="E29" s="26" t="n"/>
      <c r="F29" s="26" t="n"/>
      <c r="G29" s="26">
        <f>IF(B29="SL","SL","")</f>
        <v/>
      </c>
      <c r="H29" s="24" t="n"/>
      <c r="I29" s="28">
        <f>IFERROR(IF(SUM(C29:G29)&gt;24,"إجمالي &gt; 24 ساعة.",SUM(C29:G29)), "")</f>
        <v/>
      </c>
      <c r="J29" s="43" t="n"/>
    </row>
    <row r="30" ht="30" customHeight="1" s="44">
      <c r="A30" s="62" t="n"/>
      <c r="B30" s="27" t="n"/>
      <c r="C30" s="11" t="n"/>
      <c r="D30" s="27" t="n"/>
      <c r="E30" s="34" t="n"/>
      <c r="F30" s="34" t="n"/>
      <c r="G30" s="29">
        <f>IF(B30="SL","SL","")</f>
        <v/>
      </c>
      <c r="H30" s="30" t="n"/>
      <c r="I30" s="34">
        <f>IFERROR(IF(SUM(C30:G30)&gt;24,"إجمالي &gt; 24 ساعة.",SUM(C30:G30)), "")</f>
        <v/>
      </c>
      <c r="J30" s="43" t="n"/>
    </row>
    <row r="31" ht="30" customHeight="1" s="44">
      <c r="A31" s="61" t="n"/>
      <c r="B31" s="26" t="n"/>
      <c r="C31" s="26" t="n"/>
      <c r="D31" s="26" t="n"/>
      <c r="E31" s="26" t="n"/>
      <c r="F31" s="26" t="n"/>
      <c r="G31" s="26">
        <f>IF(B31="SL","SL","")</f>
        <v/>
      </c>
      <c r="H31" s="24" t="n"/>
      <c r="I31" s="28">
        <f>IFERROR(IF(SUM(C31:G31)&gt;24,"إجمالي &gt; 24 ساعة.",SUM(C31:G31)), "")</f>
        <v/>
      </c>
      <c r="J31" s="43" t="n"/>
    </row>
    <row r="32" ht="30" customHeight="1" s="44">
      <c r="A32" s="62" t="n"/>
      <c r="B32" s="27" t="n"/>
      <c r="C32" s="11" t="n"/>
      <c r="D32" s="27" t="n"/>
      <c r="E32" s="34" t="n"/>
      <c r="F32" s="34" t="n"/>
      <c r="G32" s="29">
        <f>IF(B32="SL","SL","")</f>
        <v/>
      </c>
      <c r="H32" s="30" t="n"/>
      <c r="I32" s="34">
        <f>IFERROR(IF(SUM(C32:G32)&gt;24,"إجمالي &gt; 24 ساعة.",SUM(C32:G32)), "")</f>
        <v/>
      </c>
      <c r="J32" s="43" t="n"/>
    </row>
    <row r="33" ht="30" customHeight="1" s="44">
      <c r="A33" s="61" t="n"/>
      <c r="B33" s="26" t="n"/>
      <c r="C33" s="26" t="n"/>
      <c r="D33" s="26" t="n"/>
      <c r="E33" s="26" t="n"/>
      <c r="F33" s="26" t="n"/>
      <c r="G33" s="26">
        <f>IF(B33="SL","SL","")</f>
        <v/>
      </c>
      <c r="H33" s="24" t="n"/>
      <c r="I33" s="28">
        <f>IFERROR(IF(SUM(C33:G33)&gt;24,"إجمالي &gt; 24 ساعة.",SUM(C33:G33)), "")</f>
        <v/>
      </c>
      <c r="J33" s="43" t="n"/>
    </row>
    <row r="34" ht="30" customHeight="1" s="44">
      <c r="A34" s="62" t="n"/>
      <c r="B34" s="31" t="n"/>
      <c r="C34" s="11" t="n"/>
      <c r="D34" s="34" t="n"/>
      <c r="E34" s="34" t="n"/>
      <c r="F34" s="34" t="n"/>
      <c r="G34" s="29">
        <f>IF(B34="SL","SL","")</f>
        <v/>
      </c>
      <c r="H34" s="30" t="n"/>
      <c r="I34" s="34">
        <f>IFERROR(IF(SUM(C34:G34)&gt;24,"إجمالي &gt; 24 ساعة.",SUM(C34:G34)), "")</f>
        <v/>
      </c>
      <c r="J34" s="43" t="n"/>
    </row>
    <row r="35" ht="30" customHeight="1" s="44">
      <c r="A35" s="61" t="n"/>
      <c r="B35" s="26" t="n"/>
      <c r="C35" s="26" t="n"/>
      <c r="D35" s="26" t="n"/>
      <c r="E35" s="26" t="n"/>
      <c r="F35" s="26" t="n"/>
      <c r="G35" s="26">
        <f>IF(B35="SL","SL","")</f>
        <v/>
      </c>
      <c r="H35" s="24" t="n"/>
      <c r="I35" s="28">
        <f>IFERROR(IF(SUM(C35:G35)&gt;24,"إجمالي &gt; 24 ساعة.",SUM(C35:G35)), "")</f>
        <v/>
      </c>
      <c r="J35" s="43" t="n"/>
    </row>
    <row r="36" ht="30" customHeight="1" s="44">
      <c r="A36" s="62" t="n"/>
      <c r="B36" s="31" t="n"/>
      <c r="C36" s="11" t="n"/>
      <c r="D36" s="34" t="n"/>
      <c r="E36" s="34" t="n"/>
      <c r="F36" s="34" t="n"/>
      <c r="G36" s="29" t="n"/>
      <c r="H36" s="30" t="n"/>
      <c r="I36" s="34">
        <f>IFERROR(IF(SUM(C36:G36)&gt;24,"إجمالي &gt; 24 ساعة.",SUM(C36:G36)), "")</f>
        <v/>
      </c>
      <c r="J36" s="43" t="n"/>
    </row>
    <row r="37" ht="30" customHeight="1" s="44">
      <c r="A37" s="61" t="n"/>
      <c r="B37" s="26" t="n"/>
      <c r="C37" s="26" t="n"/>
      <c r="D37" s="26" t="n"/>
      <c r="E37" s="26" t="n"/>
      <c r="F37" s="26" t="n"/>
      <c r="G37" s="26" t="n"/>
      <c r="H37" s="24" t="n"/>
      <c r="I37" s="28">
        <f>IFERROR(IF(SUM(C37:G37)&gt;24,"إجمالي &gt; 24 ساعة.",SUM(C37:G37)), "")</f>
        <v/>
      </c>
      <c r="J37" s="43" t="n"/>
    </row>
    <row r="38" ht="30" customHeight="1" s="44">
      <c r="A38" s="54" t="inlineStr">
        <is>
          <t>إجمالي عدد الساعات :</t>
        </is>
      </c>
      <c r="B38" s="50" t="n"/>
      <c r="C38" s="12">
        <f>SUM(C7:C37) -  (COUNTIF(B7:B37, "AWO") * 8)</f>
        <v/>
      </c>
      <c r="D38" s="32">
        <f>IFERROR(SUM(D7:D37), "")</f>
        <v/>
      </c>
      <c r="E38" s="32">
        <f>IFERROR(SUM(E7:E37), "")</f>
        <v/>
      </c>
      <c r="F38" s="32">
        <f>IFERROR(SUM(F7:F37), "")</f>
        <v/>
      </c>
      <c r="G38" s="13" t="n"/>
      <c r="H38" s="63" t="n"/>
      <c r="I38" s="32" t="inlineStr">
        <is>
          <t>الملاحظات :</t>
        </is>
      </c>
    </row>
    <row r="39" ht="30" customHeight="1" s="44">
      <c r="A39" s="54" t="inlineStr">
        <is>
          <t>إجمالي عدد ايام الدوام :</t>
        </is>
      </c>
      <c r="B39" s="50" t="n"/>
      <c r="C39" s="14">
        <f>COUNTIF(B7:B37, "P") + COUNTIF(B7:B37, "W") + COUNTIF(B7:B37, "H") + COUNTIF(B7:B37, "A") + COUNTIF(B7:B37, "AWO")-C40</f>
        <v/>
      </c>
      <c r="D39" s="14" t="n"/>
      <c r="E39" s="14" t="n"/>
      <c r="F39" s="14" t="n"/>
      <c r="G39" s="35" t="inlineStr">
        <is>
          <t>الاجازات المرضية</t>
        </is>
      </c>
      <c r="H39" s="36">
        <f>COUNTIF(B7:B37,"sl")</f>
        <v/>
      </c>
      <c r="I39" s="46">
        <f>COUNTIFS(G7:G37, "SL", G7:G37, "&lt;=3")</f>
        <v/>
      </c>
    </row>
    <row r="40" ht="37.2" customHeight="1" s="44">
      <c r="A40" s="54" t="inlineStr">
        <is>
          <t>إجمالي عدد ايام الغياب :</t>
        </is>
      </c>
      <c r="B40" s="50" t="n"/>
      <c r="C40" s="14">
        <f>COUNTIF(B7:B37,"A")+COUNTIF(B7:B37,"AWO")*2</f>
        <v/>
      </c>
      <c r="D40" s="14" t="n"/>
      <c r="E40" s="14" t="n"/>
      <c r="F40" s="14" t="n"/>
      <c r="G40" s="33" t="inlineStr">
        <is>
          <t>قيمة الخصم الاضافي</t>
        </is>
      </c>
      <c r="H40" s="64" t="n">
        <v>0</v>
      </c>
      <c r="I40" s="47" t="n"/>
    </row>
    <row r="41" ht="37.2" customHeight="1" s="44">
      <c r="A41" s="54" t="inlineStr">
        <is>
          <t>قيمة الخصم :</t>
        </is>
      </c>
      <c r="B41" s="50" t="n"/>
      <c r="C41" s="65">
        <f>COUNTIF(B7:B37,"AWO") * 2 * I3 +COUNTIF(B7:B37, "A") * I3</f>
        <v/>
      </c>
      <c r="D41" s="14" t="n"/>
      <c r="E41" s="14" t="n"/>
      <c r="F41" s="15" t="n"/>
      <c r="G41" s="35" t="inlineStr">
        <is>
          <t>مجموع الخصم :</t>
        </is>
      </c>
      <c r="H41" s="64">
        <f>SUM(C41+H40)</f>
        <v/>
      </c>
      <c r="I41" s="48" t="n"/>
    </row>
    <row r="42" ht="37.2" customHeight="1" s="44">
      <c r="A42" s="54" t="inlineStr">
        <is>
          <t>إجمالي الأجر بعد الخصم :</t>
        </is>
      </c>
      <c r="B42" s="50" t="n"/>
      <c r="C42" s="16">
        <f>IF(F4&lt;&gt;"", I2/(DAY(EOMONTH(F2,0))*8)*C38, "")</f>
        <v/>
      </c>
      <c r="D42" s="16">
        <f>IFERROR(I2/(DAY(EOMONTH(F2,0))*8)*1.25*D38, "")</f>
        <v/>
      </c>
      <c r="E42" s="16">
        <f>IFERROR(I2/(DAY(EOMONTH(F2,0))*8)*1.5*E38, "")</f>
        <v/>
      </c>
      <c r="F42" s="16">
        <f>IFERROR(I2/(DAY(EOMONTH(F2,0))*8)*2.5*F38, "")</f>
        <v/>
      </c>
      <c r="G42" s="66" t="inlineStr">
        <is>
          <t>: الإجمالي</t>
        </is>
      </c>
      <c r="H42" s="50" t="n"/>
      <c r="I42" s="67">
        <f>IFERROR(SUM(C42:F42), "") - H40</f>
        <v/>
      </c>
    </row>
    <row r="43" ht="34.2" customHeight="1" s="44">
      <c r="A43" s="17" t="inlineStr">
        <is>
          <t xml:space="preserve">التاريخ : </t>
        </is>
      </c>
      <c r="B43" s="20">
        <f>TODAY()</f>
        <v/>
      </c>
      <c r="C43" s="21" t="n"/>
      <c r="D43" s="22" t="inlineStr">
        <is>
          <t xml:space="preserve">توقيع الموظف : </t>
        </is>
      </c>
      <c r="E43" s="22" t="n"/>
      <c r="F43" s="22" t="n"/>
      <c r="G43" s="23" t="inlineStr">
        <is>
          <t xml:space="preserve">توقيع المدير : </t>
        </is>
      </c>
      <c r="H43" s="18" t="n"/>
      <c r="I43" s="18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conditionalFormatting sqref="B34 B36">
    <cfRule type="expression" priority="1" dxfId="1">
      <formula>$B34="SL"</formula>
    </cfRule>
    <cfRule type="expression" priority="2" dxfId="0">
      <formula>$B34="W"</formula>
    </cfRule>
  </conditionalFormatting>
  <dataValidations disablePrompts="1" count="11">
    <dataValidation sqref="D34:D37" showDropDown="0" showInputMessage="1" showErrorMessage="1" allowBlank="0" type="custom">
      <formula1>IF($C34&lt;&gt;"",TRUE,FALSE)</formula1>
    </dataValidation>
    <dataValidation sqref="D42" showDropDown="0" showInputMessage="1" showErrorMessage="1" allowBlank="0" prompt="هذه الخلية مخصصة لعرض مجموع اجر عمل الساعات الاضافية_x000a_"/>
    <dataValidation sqref="A39:A42" showDropDown="0" showInputMessage="1" showErrorMessage="1" allowBlank="0" prompt="أدخل قيمة الأجر في الساعة في الخلايا إلى اليمين"/>
    <dataValidation sqref="B6" showDropDown="0" showInputMessage="1" showErrorMessage="1" allowBlank="0" prompt="يتم تحديث التاريخ تلقائياً في هذا العمود أسفل هذا العنوان بناءً على تاريخ انتهاء الأسبوع في الخلية C6"/>
    <dataValidation sqref="C6" showDropDown="0" showInputMessage="1" showErrorMessage="1" allowBlank="0" prompt="أدخل &quot;ساعات العمل العادية&quot; في هذا العمود أسفل هذا العنوان"/>
    <dataValidation sqref="D6" showDropDown="0" showInputMessage="1" showErrorMessage="1" allowBlank="0" prompt="أدخل ساعات العمل الإضافي في هذا العمود ضمن هذا العنوان"/>
    <dataValidation sqref="G6" showDropDown="0" showInputMessage="1" showErrorMessage="1" allowBlank="0" prompt="أدخل ساعات الإجازات المرضية في هذا العمود أسفل هذا العنوان"/>
    <dataValidation sqref="E4 E6 H2:H3" showDropDown="0" showInputMessage="1" showErrorMessage="1" allowBlank="0" prompt="أدخل &quot;ساعات العطلات&quot; في هذا العمود أسفل هذا العنوان"/>
    <dataValidation sqref="H6:I6" showDropDown="0" showInputMessage="1" showErrorMessage="1" allowBlank="0" prompt="يتم حساب إجمالي ساعات العمل لكل يوم تلقائياً في هذا العمود أسفل هذا العنوان"/>
    <dataValidation sqref="A38" showDropDown="0" showInputMessage="1" showErrorMessage="1" allowBlank="0" prompt="يتم حساب إجمالي الساعات للفترة بأكملها تلقائياً في الخلايا إلى اليسار"/>
    <dataValidation sqref="A42" showDropDown="0" showInputMessage="1" showErrorMessage="1" allowBlank="0" prompt="يتم حساب إجمالي الأجر تلقائياً في الخلايا إلى اليسار"/>
  </dataValidations>
  <printOptions horizontalCentered="1" verticalCentered="1"/>
  <pageMargins left="0.25" right="0.25" top="0.75" bottom="0.75" header="0.3" footer="0.3"/>
  <pageSetup orientation="portrait" paperSize="9" scale="52" horizontalDpi="429496729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4500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عجب خان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Al Saada Complex</t>
        </is>
      </c>
      <c r="I7" s="28">
        <f>IFERROR(IF(SUM(C7:G7)&gt;24,"إجمالي &gt; 24 ساعة.",SUM(C7:G7)), "")</f>
        <v/>
      </c>
      <c r="J7" s="70" t="inlineStr">
        <is>
          <t>Weekend</t>
        </is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Al Saada Complex</t>
        </is>
      </c>
      <c r="I8" s="34">
        <f>IFERROR(IF(SUM(C8:G8)&gt;24,"إجمالي &gt; 24 ساعة.",SUM(C8:G8)), "")</f>
        <v/>
      </c>
      <c r="J8" s="70" t="inlineStr">
        <is>
          <t xml:space="preserve">I purchased breaker for farm  also I fix. </t>
        </is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Saqia 20 4hrs + Masjid Al Karama 4hrs</t>
        </is>
      </c>
      <c r="I9" s="28">
        <f>IFERROR(IF(SUM(C9:G9)&gt;24,"إجمالي &gt; 24 ساعة.",SUM(C9:G9)), "")</f>
        <v/>
      </c>
      <c r="J9" s="70" t="inlineStr">
        <is>
          <t>we clean Alsaqia Ac also we repair one Ac  of office 8</t>
        </is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Al Saada Complex 1hrs + Saqia 20 7hrs</t>
        </is>
      </c>
      <c r="I10" s="34">
        <f>IFERROR(IF(SUM(C10:G10)&gt;24,"إجمالي &gt; 24 ساعة.",SUM(C10:G10)), "")</f>
        <v/>
      </c>
      <c r="J10" s="70" t="inlineStr">
        <is>
          <t xml:space="preserve">we make water tank also chang. door lock </t>
        </is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Al Saada Complex 2hrs + Al Salam Complex 6hrs</t>
        </is>
      </c>
      <c r="I11" s="28">
        <f>IFERROR(IF(SUM(C11:G11)&gt;24,"إجمالي &gt; 24 ساعة.",SUM(C11:G11)), "")</f>
        <v/>
      </c>
      <c r="J11" s="70" t="inlineStr">
        <is>
          <t>we make Ac in salam villa  flat 5 .also thraw west thing around villa</t>
        </is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Al Saada Complex 1hrs + Home`s Mr.Abdullah 7hrs</t>
        </is>
      </c>
      <c r="I12" s="34">
        <f>IFERROR(IF(SUM(C12:G12)&gt;24,"إجمالي &gt; 24 ساعة.",SUM(C12:G12)), "")</f>
        <v/>
      </c>
      <c r="J12" s="70" t="inlineStr">
        <is>
          <t xml:space="preserve">we. shift new Ac for b4 flat. also I make  washing machine for  repair </t>
        </is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Home`s Mr.Abdullah 7hrs + Al Saada Complex 1hrs</t>
        </is>
      </c>
      <c r="I13" s="28">
        <f>IFERROR(IF(SUM(C13:G13)&gt;24,"إجمالي &gt; 24 ساعة.",SUM(C13:G13)), "")</f>
        <v/>
      </c>
      <c r="J13" s="70" t="inlineStr">
        <is>
          <t xml:space="preserve">I bring compressor for villa 130 villa also we repair washing machine 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Al Saada Complex</t>
        </is>
      </c>
      <c r="I14" s="34">
        <f>IFERROR(IF(SUM(C14:G14)&gt;24,"إجمالي &gt; 24 ساعة.",SUM(C14:G14)), "")</f>
        <v/>
      </c>
      <c r="J14" s="70" t="inlineStr">
        <is>
          <t>Weekend</t>
        </is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Al Saada Complex 3hrs + Al Shahama complex 5hrs</t>
        </is>
      </c>
      <c r="I15" s="28">
        <f>IFERROR(IF(SUM(C15:G15)&gt;24,"إجمالي &gt; 24 ساعة.",SUM(C15:G15)), "")</f>
        <v/>
      </c>
      <c r="J15" s="70" t="inlineStr">
        <is>
          <t>I check work in shahama villa alao we fix compressor in 130 villa  1</t>
        </is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Al Saada Complex 1hrs + Farm 826 7hrs</t>
        </is>
      </c>
      <c r="I16" s="34">
        <f>IFERROR(IF(SUM(C16:G16)&gt;24,"إجمالي &gt; 24 ساعة.",SUM(C16:G16)), "")</f>
        <v/>
      </c>
      <c r="J16" s="70" t="inlineStr">
        <is>
          <t xml:space="preserve">we move tow Ac  in farm villa. </t>
        </is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Al Salam Complex 5hrs + Al Saada Complex 3hrs</t>
        </is>
      </c>
      <c r="I17" s="28">
        <f>IFERROR(IF(SUM(C17:G17)&gt;24,"إجمالي &gt; 24 ساعة.",SUM(C17:G17)), "")</f>
        <v/>
      </c>
      <c r="J17" s="70" t="inlineStr">
        <is>
          <t xml:space="preserve">I provide material in Alsaada compound. also salam villa we clean outside </t>
        </is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Al Karama Complex 3hrs + Al Salam Complex 5hrs</t>
        </is>
      </c>
      <c r="I18" s="34">
        <f>IFERROR(IF(SUM(C18:G18)&gt;24,"إجمالي &gt; 24 ساعة.",SUM(C18:G18)), "")</f>
        <v/>
      </c>
      <c r="J18" s="70" t="inlineStr">
        <is>
          <t xml:space="preserve">we removed scraps from salam villa  threw in scrap yard. </t>
        </is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Al Karama Complex</t>
        </is>
      </c>
      <c r="I19" s="28">
        <f>IFERROR(IF(SUM(C19:G19)&gt;24,"إجمالي &gt; 24 ساعة.",SUM(C19:G19)), "")</f>
        <v/>
      </c>
      <c r="J19" s="70" t="inlineStr">
        <is>
          <t xml:space="preserve">Ac work in alkarama villa 3 </t>
        </is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Al Saada Complex</t>
        </is>
      </c>
      <c r="I20" s="34">
        <f>IFERROR(IF(SUM(C20:G20)&gt;24,"إجمالي &gt; 24 ساعة.",SUM(C20:G20)), "")</f>
        <v/>
      </c>
      <c r="J20" s="70" t="inlineStr">
        <is>
          <t xml:space="preserve">we make painting work in stairs area. also I bring material for Ac from mussafha 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Al Saada Complex</t>
        </is>
      </c>
      <c r="I21" s="28">
        <f>IFERROR(IF(SUM(C21:G21)&gt;24,"إجمالي &gt; 24 ساعة.",SUM(C21:G21)), "")</f>
        <v/>
      </c>
      <c r="J21" s="70" t="inlineStr">
        <is>
          <t>Weekend</t>
        </is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Al Karama Complex</t>
        </is>
      </c>
      <c r="I22" s="34">
        <f>IFERROR(IF(SUM(C21:G21)&gt;24,"إجمالي &gt; 24 ساعة.",SUM(C21:G21)), "")</f>
        <v/>
      </c>
      <c r="J22" s="70" t="inlineStr">
        <is>
          <t xml:space="preserve">we repair water pump </t>
        </is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Al Salam Complex 3hrs + Adil Villa 5hrs</t>
        </is>
      </c>
      <c r="I23" s="28">
        <f>IFERROR(IF(SUM(C23:G23)&gt;24,"إجمالي &gt; 24 ساعة.",SUM(C23:G23)), "")</f>
        <v/>
      </c>
      <c r="J23" s="70" t="inlineStr">
        <is>
          <t>we open dran in  adill villa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Al Salam Complex</t>
        </is>
      </c>
      <c r="I24" s="34">
        <f>IFERROR(IF(SUM(C24:G24)&gt;24,"إجمالي &gt; 24 ساعة.",SUM(C24:G24)), "")</f>
        <v/>
      </c>
      <c r="J24" s="70" t="inlineStr">
        <is>
          <t xml:space="preserve">I provide 🫟 paint in salam villa . also I go office I submitted invoice. </t>
        </is>
      </c>
    </row>
    <row r="25" ht="32" customHeight="1" s="44">
      <c r="A25" s="61" t="n">
        <v>46100</v>
      </c>
      <c r="B25" s="68" t="inlineStr">
        <is>
          <t>P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Al Saada Complex</t>
        </is>
      </c>
      <c r="I25" s="28">
        <f>IFERROR(IF(SUM(C25:G25)&gt;24,"إجمالي &gt; 24 ساعة.",SUM(C25:G25)), "")</f>
        <v/>
      </c>
      <c r="J25" s="70" t="inlineStr">
        <is>
          <t>Holiday  I check Ac in doctor Abdullah majeed</t>
        </is>
      </c>
    </row>
    <row r="26" ht="32" customHeight="1" s="44">
      <c r="A26" s="62" t="n">
        <v>46101</v>
      </c>
      <c r="B26" s="71" t="inlineStr">
        <is>
          <t>P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Al Saada Complex</t>
        </is>
      </c>
      <c r="I26" s="34">
        <f>IFERROR(IF(SUM(C26:G26)&gt;24,"إجمالي &gt; 24 ساعة.",SUM(C26:G26)), "")</f>
        <v/>
      </c>
      <c r="J26" s="70" t="inlineStr">
        <is>
          <t xml:space="preserve">Weekend I changed flout ball in w tank </t>
        </is>
      </c>
    </row>
    <row r="27" ht="32" customHeight="1" s="44">
      <c r="A27" s="61" t="n">
        <v>46102</v>
      </c>
      <c r="B27" s="68" t="inlineStr">
        <is>
          <t>P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Al Saada Complex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1" t="inlineStr">
        <is>
          <t>P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Al Saada Complex</t>
        </is>
      </c>
      <c r="I28" s="34">
        <f>IFERROR(IF(SUM(C28:G28)&gt;24,"إجمالي &gt; 24 ساعة.",SUM(C28:G28)), "")</f>
        <v/>
      </c>
      <c r="J28" s="70" t="inlineStr">
        <is>
          <t>Weekend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Abo-Abdullah-Villa</t>
        </is>
      </c>
      <c r="I29" s="28">
        <f>IFERROR(IF(SUM(C29:G29)&gt;24,"إجمالي &gt; 24 ساعة.",SUM(C29:G29)), "")</f>
        <v/>
      </c>
      <c r="J29" s="70" t="inlineStr">
        <is>
          <t xml:space="preserve">we open in Baba home  main hole. electric work in alkarama 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Saqia 14 (Store) 4hrs + Adil Villa 4hrs</t>
        </is>
      </c>
      <c r="I30" s="34">
        <f>IFERROR(IF(SUM(C30:G30)&gt;24,"إجمالي &gt; 24 ساعة.",SUM(C30:G30)), "")</f>
        <v/>
      </c>
      <c r="J30" s="70" t="inlineStr">
        <is>
          <t xml:space="preserve">b14 store electric work . adil villa door work also electric work </t>
        </is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Al Salam Complex 4hrs + Adil Villa 4hrs</t>
        </is>
      </c>
      <c r="I31" s="28">
        <f>IFERROR(IF(SUM(C31:G31)&gt;24,"إجمالي &gt; 24 ساعة.",SUM(C31:G31)), "")</f>
        <v/>
      </c>
      <c r="J31" s="70" t="inlineStr">
        <is>
          <t xml:space="preserve">we. make  electric  short circuit in both Sait 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/>
      <c r="E32" s="74" t="n"/>
      <c r="F32" s="74" t="n"/>
      <c r="G32" s="29">
        <f>IF(B32="SL","SL","")</f>
        <v/>
      </c>
      <c r="H32" s="75" t="inlineStr">
        <is>
          <t>Saqia 20 4hrs + Al Karama Complex 4hrs</t>
        </is>
      </c>
      <c r="I32" s="34">
        <f>IFERROR(IF(SUM(C32:G32)&gt;24,"إجمالي &gt; 24 ساعة.",SUM(C32:G32)), "")</f>
        <v/>
      </c>
      <c r="J32" s="70" t="inlineStr">
        <is>
          <t xml:space="preserve">we changed door 🔐 in p20 toilet. </t>
        </is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Al Saada Complex 3hrs + Abo-Abdullah-Villa 5hrs</t>
        </is>
      </c>
      <c r="I33" s="28">
        <f>IFERROR(IF(SUM(C33:G33)&gt;24,"إجمالي &gt; 24 ساعة.",SUM(C33:G33)), "")</f>
        <v/>
      </c>
      <c r="J33" s="70" t="inlineStr">
        <is>
          <t>we removed sand Frome  Baba home . Alsaada electric work</t>
        </is>
      </c>
    </row>
    <row r="34" ht="32" customHeight="1" s="44">
      <c r="A34" s="62" t="n">
        <v>46109</v>
      </c>
      <c r="B34" s="76" t="inlineStr">
        <is>
          <t>P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Al Shahama complex 5hrs + Al Karama Complex 3hrs</t>
        </is>
      </c>
      <c r="I34" s="34">
        <f>IFERROR(IF(SUM(C34:G34)&gt;24,"إجمالي &gt; 24 ساعة.",SUM(C34:G34)), "")</f>
        <v/>
      </c>
      <c r="J34" s="70" t="inlineStr">
        <is>
          <t xml:space="preserve">I shift scrap in arbab home . also I go shahmma we cheak drainage pump 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Al Saada Complex</t>
        </is>
      </c>
      <c r="I35" s="28">
        <f>IFERROR(IF(SUM(C35:G35)&gt;24,"إجمالي &gt; 24 ساعة.",SUM(C35:G35)), "")</f>
        <v/>
      </c>
      <c r="J35" s="70" t="inlineStr">
        <is>
          <t>Weekend</t>
        </is>
      </c>
    </row>
    <row r="36" ht="32" customHeight="1" s="44">
      <c r="A36" s="62" t="n">
        <v>46111</v>
      </c>
      <c r="B36" s="76" t="inlineStr">
        <is>
          <t>V</t>
        </is>
      </c>
      <c r="C36" s="72" t="n"/>
      <c r="D36" s="74" t="n"/>
      <c r="E36" s="74" t="n"/>
      <c r="F36" s="74" t="n"/>
      <c r="G36" s="29" t="n"/>
      <c r="H36" s="75" t="n">
        <v/>
      </c>
      <c r="I36" s="34">
        <f>IFERROR(IF(SUM(C36:G36)&gt;24,"إجمالي &gt; 24 ساعة.",SUM(C36:G36)), "")</f>
        <v/>
      </c>
      <c r="J36" s="70" t="inlineStr">
        <is>
          <t xml:space="preserve">yearly vacation </t>
        </is>
      </c>
    </row>
    <row r="37" ht="32" customHeight="1" s="44">
      <c r="A37" s="61" t="n">
        <v>46112</v>
      </c>
      <c r="B37" s="68" t="inlineStr">
        <is>
          <t>V</t>
        </is>
      </c>
      <c r="C37" s="68" t="n"/>
      <c r="D37" s="68" t="n"/>
      <c r="E37" s="68" t="n"/>
      <c r="F37" s="68" t="n"/>
      <c r="G37" s="26" t="n"/>
      <c r="H37" s="69" t="n">
        <v/>
      </c>
      <c r="I37" s="28">
        <f>IFERROR(IF(SUM(C37:G37)&gt;24,"إجمالي &gt; 24 ساعة.",SUM(C37:G37)), "")</f>
        <v/>
      </c>
      <c r="J37" s="70" t="inlineStr">
        <is>
          <t xml:space="preserve">yearly vacation </t>
        </is>
      </c>
    </row>
    <row r="38" ht="30" customHeight="1" s="44">
      <c r="A38" s="54" t="inlineStr">
        <is>
          <t>إجمالي عدد الساعات :</t>
        </is>
      </c>
      <c r="B38" s="77" t="n"/>
      <c r="C38" s="78">
        <f>SUM(C7:C37) -  (COUNTIF(B7:B37, "AWO") * 8)</f>
        <v/>
      </c>
      <c r="D38" s="79">
        <f>IFERROR(SUM(D7:D37), "")</f>
        <v/>
      </c>
      <c r="E38" s="79">
        <f>IFERROR(SUM(E7:E37), "")</f>
        <v/>
      </c>
      <c r="F38" s="79">
        <f>IFERROR(SUM(F7:F37), "")</f>
        <v/>
      </c>
      <c r="G38" s="13" t="n"/>
      <c r="H38" s="80" t="n"/>
      <c r="I38" s="32" t="inlineStr">
        <is>
          <t>الملاحظات :</t>
        </is>
      </c>
      <c r="J38" s="81" t="n"/>
    </row>
    <row r="39" ht="30" customHeight="1" s="44">
      <c r="A39" s="54" t="inlineStr">
        <is>
          <t>إجمالي عدد ايام الدوام :</t>
        </is>
      </c>
      <c r="B39" s="77" t="n"/>
      <c r="C39" s="82">
        <f>COUNTIF(B7:B37, "P") + COUNTIF(B7:B37, "W") + COUNTIF(B7:B37, "H") + COUNTIF(B7:B37, "A") + COUNTIF(B7:B37, "AWO")-C40</f>
        <v/>
      </c>
      <c r="D39" s="82" t="n"/>
      <c r="E39" s="82" t="n"/>
      <c r="F39" s="82" t="n"/>
      <c r="G39" s="35" t="inlineStr">
        <is>
          <t>الاجازات المرضية</t>
        </is>
      </c>
      <c r="H39" s="83">
        <f>COUNTIF(B7:B37,"sl")</f>
        <v/>
      </c>
      <c r="I39" s="46">
        <f>COUNTIFS(G7:G37, "SL", G7:G37, "&lt;=3")</f>
        <v/>
      </c>
      <c r="J39" s="81" t="n"/>
    </row>
    <row r="40" ht="37.2" customHeight="1" s="44">
      <c r="A40" s="54" t="inlineStr">
        <is>
          <t>إجمالي عدد ايام الغياب :</t>
        </is>
      </c>
      <c r="B40" s="77" t="n"/>
      <c r="C40" s="82">
        <f>COUNTIF(B7:B37,"A")+COUNTIF(B7:B37,"AWO")*2</f>
        <v/>
      </c>
      <c r="D40" s="82" t="n"/>
      <c r="E40" s="82" t="n"/>
      <c r="F40" s="82" t="n"/>
      <c r="G40" s="33" t="inlineStr">
        <is>
          <t>قيمة الخصم الاضافي</t>
        </is>
      </c>
      <c r="H40" s="84" t="n">
        <v>0</v>
      </c>
      <c r="I40" s="47" t="n"/>
      <c r="J40" s="81" t="n"/>
    </row>
    <row r="41" ht="37.2" customHeight="1" s="44">
      <c r="A41" s="54" t="inlineStr">
        <is>
          <t>قيمة الخصم :</t>
        </is>
      </c>
      <c r="B41" s="77" t="n"/>
      <c r="C41" s="85">
        <f>COUNTIF(B7:B37,"AWO") * 2 * I3 +COUNTIF(B7:B37, "A") * I3</f>
        <v/>
      </c>
      <c r="D41" s="82" t="n"/>
      <c r="E41" s="82" t="n"/>
      <c r="F41" s="86" t="n"/>
      <c r="G41" s="35" t="inlineStr">
        <is>
          <t>مجموع الخصم :</t>
        </is>
      </c>
      <c r="H41" s="84">
        <f>SUM(C41+H40)</f>
        <v/>
      </c>
      <c r="I41" s="48" t="n"/>
      <c r="J41" s="81" t="n"/>
    </row>
    <row r="42" ht="37.2" customHeight="1" s="44">
      <c r="A42" s="54" t="inlineStr">
        <is>
          <t>إجمالي الأجر بعد الخصم :</t>
        </is>
      </c>
      <c r="B42" s="77" t="n"/>
      <c r="C42" s="87">
        <f>IF(F4&lt;&gt;"", I2/(DAY(EOMONTH(F2,0))*8)*C38, "")</f>
        <v/>
      </c>
      <c r="D42" s="87">
        <f>IFERROR(I2/(DAY(EOMONTH(F2,0))*8)*1.25*D38, "")</f>
        <v/>
      </c>
      <c r="E42" s="87">
        <f>IFERROR(I2/(DAY(EOMONTH(F2,0))*8)*1.5*E38, "")</f>
        <v/>
      </c>
      <c r="F42" s="87">
        <f>IFERROR(I2/(DAY(EOMONTH(F2,0))*8)*2.5*F38, "")</f>
        <v/>
      </c>
      <c r="G42" s="66" t="inlineStr">
        <is>
          <t>: الإجمالي</t>
        </is>
      </c>
      <c r="H42" s="77" t="n"/>
      <c r="I42" s="67">
        <f>IFERROR(SUM(C42:F42), "") - H40</f>
        <v/>
      </c>
      <c r="J42" s="81" t="n"/>
    </row>
    <row r="43" ht="34.2" customHeight="1" s="44">
      <c r="A43" s="17" t="inlineStr">
        <is>
          <t xml:space="preserve">التاريخ : </t>
        </is>
      </c>
      <c r="B43" s="88">
        <f>TODAY()</f>
        <v/>
      </c>
      <c r="C43" s="89" t="n"/>
      <c r="D43" s="90" t="inlineStr">
        <is>
          <t xml:space="preserve">توقيع الموظف : </t>
        </is>
      </c>
      <c r="E43" s="90" t="n"/>
      <c r="F43" s="90" t="n"/>
      <c r="G43" s="23" t="inlineStr">
        <is>
          <t xml:space="preserve">توقيع المدير : </t>
        </is>
      </c>
      <c r="H43" s="91" t="n"/>
      <c r="I43" s="18" t="n"/>
      <c r="J43" s="81" t="n"/>
    </row>
    <row r="44">
      <c r="A44" s="19" t="n"/>
      <c r="B44" s="92" t="n"/>
      <c r="C44" s="92" t="n"/>
      <c r="D44" s="92" t="n"/>
      <c r="E44" s="92" t="n"/>
      <c r="F44" s="92" t="n"/>
      <c r="G44" s="19" t="n"/>
      <c r="H44" s="92" t="n"/>
      <c r="I44" s="19" t="n"/>
      <c r="J44" s="81" t="n"/>
    </row>
    <row r="45">
      <c r="A45" s="19" t="n"/>
      <c r="B45" s="92" t="n"/>
      <c r="C45" s="92" t="n"/>
      <c r="D45" s="92" t="n"/>
      <c r="E45" s="92" t="n"/>
      <c r="F45" s="92" t="n"/>
      <c r="G45" s="19" t="n"/>
      <c r="H45" s="92" t="n"/>
      <c r="I45" s="19" t="n"/>
      <c r="J45" s="81" t="n"/>
    </row>
    <row r="46">
      <c r="B46" s="81" t="n"/>
      <c r="C46" s="81" t="n"/>
      <c r="D46" s="81" t="n"/>
      <c r="E46" s="81" t="n"/>
      <c r="F46" s="81" t="n"/>
      <c r="H46" s="81" t="n"/>
      <c r="J46" s="81" t="n"/>
    </row>
    <row r="47">
      <c r="B47" s="81" t="n"/>
      <c r="C47" s="81" t="n"/>
      <c r="D47" s="81" t="n"/>
      <c r="E47" s="81" t="n"/>
      <c r="F47" s="81" t="n"/>
      <c r="H47" s="81" t="n"/>
      <c r="J47" s="81" t="n"/>
    </row>
    <row r="48">
      <c r="B48" s="81" t="n"/>
      <c r="C48" s="81" t="n"/>
      <c r="D48" s="81" t="n"/>
      <c r="E48" s="81" t="n"/>
      <c r="F48" s="81" t="n"/>
      <c r="H48" s="81" t="n"/>
      <c r="J48" s="81" t="n"/>
    </row>
    <row r="49">
      <c r="B49" s="81" t="n"/>
      <c r="C49" s="81" t="n"/>
      <c r="D49" s="81" t="n"/>
      <c r="E49" s="81" t="n"/>
      <c r="F49" s="81" t="n"/>
      <c r="H49" s="81" t="n"/>
      <c r="J49" s="81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2000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حفيظ الله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Al Saada Complex</t>
        </is>
      </c>
      <c r="I7" s="28">
        <f>IFERROR(IF(SUM(C7:G7)&gt;24,"إجمالي &gt; 24 ساعة.",SUM(C7:G7)), "")</f>
        <v/>
      </c>
      <c r="J7" s="70" t="inlineStr">
        <is>
          <t>Weekend</t>
        </is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Al Saada Complex</t>
        </is>
      </c>
      <c r="I8" s="34">
        <f>IFERROR(IF(SUM(C8:G8)&gt;24,"إجمالي &gt; 24 ساعة.",SUM(C8:G8)), "")</f>
        <v/>
      </c>
      <c r="J8" s="70" t="inlineStr">
        <is>
          <t xml:space="preserve">he changed water heater in c3 flat also painting works </t>
        </is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Al Saada Complex</t>
        </is>
      </c>
      <c r="I9" s="28">
        <f>IFERROR(IF(SUM(C9:G9)&gt;24,"إجمالي &gt; 24 ساعة.",SUM(C9:G9)), "")</f>
        <v/>
      </c>
      <c r="J9" s="70" t="inlineStr">
        <is>
          <t>painting work in flat c2</t>
        </is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Al Saada Complex</t>
        </is>
      </c>
      <c r="I10" s="34">
        <f>IFERROR(IF(SUM(C10:G10)&gt;24,"إجمالي &gt; 24 ساعة.",SUM(C10:G10)), "")</f>
        <v/>
      </c>
      <c r="J10" s="70" t="inlineStr">
        <is>
          <t xml:space="preserve">ac work in compound. a1. b4. </t>
        </is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Al Saada Complex</t>
        </is>
      </c>
      <c r="I11" s="28">
        <f>IFERROR(IF(SUM(C11:G11)&gt;24,"إجمالي &gt; 24 ساعة.",SUM(C11:G11)), "")</f>
        <v/>
      </c>
      <c r="J11" s="70" t="inlineStr">
        <is>
          <t>Ac work in b4. also painting work c2</t>
        </is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Al Salam Complex</t>
        </is>
      </c>
      <c r="I12" s="34">
        <f>IFERROR(IF(SUM(C12:G12)&gt;24,"إجمالي &gt; 24 ساعة.",SUM(C12:G12)), "")</f>
        <v/>
      </c>
      <c r="J12" s="70" t="inlineStr">
        <is>
          <t>he fix Ac. in b4 flat new gree ac</t>
        </is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Al Saada Complex</t>
        </is>
      </c>
      <c r="I13" s="28">
        <f>IFERROR(IF(SUM(C13:G13)&gt;24,"إجمالي &gt; 24 ساعة.",SUM(C13:G13)), "")</f>
        <v/>
      </c>
      <c r="J13" s="70" t="inlineStr">
        <is>
          <t xml:space="preserve">painting work in c2 flat 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Al Saada Complex</t>
        </is>
      </c>
      <c r="I14" s="34">
        <f>IFERROR(IF(SUM(C14:G14)&gt;24,"إجمالي &gt; 24 ساعة.",SUM(C14:G14)), "")</f>
        <v/>
      </c>
      <c r="J14" s="70" t="inlineStr">
        <is>
          <t>Weekend</t>
        </is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Home`s Mr.Abdullah 4hrs + Al Saada Complex 4hrs</t>
        </is>
      </c>
      <c r="I15" s="28">
        <f>IFERROR(IF(SUM(C15:G15)&gt;24,"إجمالي &gt; 24 ساعة.",SUM(C15:G15)), "")</f>
        <v/>
      </c>
      <c r="J15" s="70" t="inlineStr">
        <is>
          <t>cleaning work in c2 flat also Ac work in 130 villa</t>
        </is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Farm 826</t>
        </is>
      </c>
      <c r="I16" s="34">
        <f>IFERROR(IF(SUM(C16:G16)&gt;24,"إجمالي &gt; 24 ساعة.",SUM(C16:G16)), "")</f>
        <v/>
      </c>
      <c r="J16" s="70" t="inlineStr">
        <is>
          <t>he changed Ac  two pcs</t>
        </is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>
        <v>1</v>
      </c>
      <c r="E17" s="68" t="n"/>
      <c r="F17" s="68" t="n"/>
      <c r="G17" s="26">
        <f>IF(B17="SL","SL","")</f>
        <v/>
      </c>
      <c r="H17" s="69" t="inlineStr">
        <is>
          <t>Al Saada Complex</t>
        </is>
      </c>
      <c r="I17" s="28">
        <f>IFERROR(IF(SUM(C17:G17)&gt;24,"إجمالي &gt; 24 ساعة.",SUM(C17:G17)), "")</f>
        <v/>
      </c>
      <c r="J17" s="70" t="inlineStr">
        <is>
          <t xml:space="preserve">he changed mixer in D4 flat. also c2  door painting </t>
        </is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Al Saada Complex</t>
        </is>
      </c>
      <c r="I18" s="34">
        <f>IFERROR(IF(SUM(C18:G18)&gt;24,"إجمالي &gt; 24 ساعة.",SUM(C18:G18)), "")</f>
        <v/>
      </c>
      <c r="J18" s="70" t="inlineStr">
        <is>
          <t xml:space="preserve">Ciramic fix in c2 flat. </t>
        </is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Al Saada Complex</t>
        </is>
      </c>
      <c r="I19" s="28">
        <f>IFERROR(IF(SUM(C19:G19)&gt;24,"إجمالي &gt; 24 ساعة.",SUM(C19:G19)), "")</f>
        <v/>
      </c>
      <c r="J19" s="70" t="inlineStr">
        <is>
          <t xml:space="preserve">Ac work in Alsaada compound </t>
        </is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Al Saada Complex</t>
        </is>
      </c>
      <c r="I20" s="34">
        <f>IFERROR(IF(SUM(C20:G20)&gt;24,"إجمالي &gt; 24 ساعة.",SUM(C20:G20)), "")</f>
        <v/>
      </c>
      <c r="J20" s="70" t="inlineStr">
        <is>
          <t>painting work in stairs area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Al Saada Complex</t>
        </is>
      </c>
      <c r="I21" s="28">
        <f>IFERROR(IF(SUM(C21:G21)&gt;24,"إجمالي &gt; 24 ساعة.",SUM(C21:G21)), "")</f>
        <v/>
      </c>
      <c r="J21" s="70" t="inlineStr">
        <is>
          <t>Weekend</t>
        </is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Al Saada Complex</t>
        </is>
      </c>
      <c r="I22" s="34">
        <f>IFERROR(IF(SUM(C21:G21)&gt;24,"إجمالي &gt; 24 ساعة.",SUM(C21:G21)), "")</f>
        <v/>
      </c>
      <c r="J22" s="70" t="inlineStr">
        <is>
          <t xml:space="preserve">he painting e6 flat </t>
        </is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Al Saada Complex</t>
        </is>
      </c>
      <c r="I23" s="28">
        <f>IFERROR(IF(SUM(C23:G23)&gt;24,"إجمالي &gt; 24 ساعة.",SUM(C23:G23)), "")</f>
        <v/>
      </c>
      <c r="J23" s="70" t="inlineStr">
        <is>
          <t>painting work in e6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Al Saada Complex</t>
        </is>
      </c>
      <c r="I24" s="34">
        <f>IFERROR(IF(SUM(C24:G24)&gt;24,"إجمالي &gt; 24 ساعة.",SUM(C24:G24)), "")</f>
        <v/>
      </c>
      <c r="J24" s="70" t="inlineStr">
        <is>
          <t>Ac work also painting work</t>
        </is>
      </c>
    </row>
    <row r="25" ht="32" customHeight="1" s="44">
      <c r="A25" s="61" t="n">
        <v>46100</v>
      </c>
      <c r="B25" s="68" t="inlineStr">
        <is>
          <t>P</t>
        </is>
      </c>
      <c r="C25" s="68" t="n">
        <v>8</v>
      </c>
      <c r="D25" s="68" t="n">
        <v>1</v>
      </c>
      <c r="E25" s="68" t="n"/>
      <c r="F25" s="68" t="n"/>
      <c r="G25" s="26">
        <f>IF(B25="SL","SL","")</f>
        <v/>
      </c>
      <c r="H25" s="69" t="inlineStr">
        <is>
          <t>Al Saada Complex</t>
        </is>
      </c>
      <c r="I25" s="28">
        <f>IFERROR(IF(SUM(C25:G25)&gt;24,"إجمالي &gt; 24 ساعة.",SUM(C25:G25)), "")</f>
        <v/>
      </c>
      <c r="J25" s="70" t="inlineStr">
        <is>
          <t>Holiday . he open dran in asad room</t>
        </is>
      </c>
    </row>
    <row r="26" ht="32" customHeight="1" s="44">
      <c r="A26" s="62" t="n">
        <v>46101</v>
      </c>
      <c r="B26" s="71" t="inlineStr">
        <is>
          <t>P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Al Saada Complex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68" t="inlineStr">
        <is>
          <t>P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Al Saada Complex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1" t="inlineStr">
        <is>
          <t>P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Al Saada Complex</t>
        </is>
      </c>
      <c r="I28" s="34">
        <f>IFERROR(IF(SUM(C28:G28)&gt;24,"إجمالي &gt; 24 ساعة.",SUM(C28:G28)), "")</f>
        <v/>
      </c>
      <c r="J28" s="70" t="inlineStr">
        <is>
          <t>Weekend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Al Saada Complex</t>
        </is>
      </c>
      <c r="I29" s="28">
        <f>IFERROR(IF(SUM(C29:G29)&gt;24,"إجمالي &gt; 24 ساعة.",SUM(C29:G29)), "")</f>
        <v/>
      </c>
      <c r="J29" s="70" t="inlineStr">
        <is>
          <t xml:space="preserve">electric work in villas 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Al Saada Complex</t>
        </is>
      </c>
      <c r="I30" s="34">
        <f>IFERROR(IF(SUM(C30:G30)&gt;24,"إجمالي &gt; 24 ساعة.",SUM(C30:G30)), "")</f>
        <v/>
      </c>
      <c r="J30" s="70" t="inlineStr">
        <is>
          <t xml:space="preserve">electric work in compound </t>
        </is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Al Saada Complex</t>
        </is>
      </c>
      <c r="I31" s="28">
        <f>IFERROR(IF(SUM(C31:G31)&gt;24,"إجمالي &gt; 24 ساعة.",SUM(C31:G31)), "")</f>
        <v/>
      </c>
      <c r="J31" s="70" t="inlineStr">
        <is>
          <t xml:space="preserve">electric and paint work 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/>
      <c r="E32" s="74" t="n"/>
      <c r="F32" s="74" t="n"/>
      <c r="G32" s="29">
        <f>IF(B32="SL","SL","")</f>
        <v/>
      </c>
      <c r="H32" s="75" t="inlineStr">
        <is>
          <t>Al Saada Complex</t>
        </is>
      </c>
      <c r="I32" s="34">
        <f>IFERROR(IF(SUM(C32:G32)&gt;24,"إجمالي &gt; 24 ساعة.",SUM(C32:G32)), "")</f>
        <v/>
      </c>
      <c r="J32" s="70" t="inlineStr">
        <is>
          <t xml:space="preserve">electric work in villa </t>
        </is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Al Saada Complex</t>
        </is>
      </c>
      <c r="I33" s="28">
        <f>IFERROR(IF(SUM(C33:G33)&gt;24,"إجمالي &gt; 24 ساعة.",SUM(C33:G33)), "")</f>
        <v/>
      </c>
      <c r="J33" s="70" t="inlineStr">
        <is>
          <t>Ac work e villa breaker chang</t>
        </is>
      </c>
    </row>
    <row r="34" ht="32" customHeight="1" s="44">
      <c r="A34" s="62" t="n">
        <v>46109</v>
      </c>
      <c r="B34" s="76" t="inlineStr">
        <is>
          <t>P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Al Saada Complex</t>
        </is>
      </c>
      <c r="I34" s="34">
        <f>IFERROR(IF(SUM(C34:G34)&gt;24,"إجمالي &gt; 24 ساعة.",SUM(C34:G34)), "")</f>
        <v/>
      </c>
      <c r="J34" s="70" t="inlineStr">
        <is>
          <t>Ac work also  shifts items with asad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Al Saada Complex</t>
        </is>
      </c>
      <c r="I35" s="28">
        <f>IFERROR(IF(SUM(C35:G35)&gt;24,"إجمالي &gt; 24 ساعة.",SUM(C35:G35)), "")</f>
        <v/>
      </c>
      <c r="J35" s="70" t="inlineStr">
        <is>
          <t>Weekend</t>
        </is>
      </c>
    </row>
    <row r="36" ht="32" customHeight="1" s="44">
      <c r="A36" s="62" t="n">
        <v>46111</v>
      </c>
      <c r="B36" s="76" t="inlineStr">
        <is>
          <t>P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Al Saada Complex</t>
        </is>
      </c>
      <c r="I36" s="34">
        <f>IFERROR(IF(SUM(C36:G36)&gt;24,"إجمالي &gt; 24 ساعة.",SUM(C36:G36)), "")</f>
        <v/>
      </c>
      <c r="J36" s="70" t="inlineStr">
        <is>
          <t xml:space="preserve">painting work in stairs area </t>
        </is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/>
      <c r="E37" s="68" t="n"/>
      <c r="F37" s="68" t="n"/>
      <c r="G37" s="26" t="n"/>
      <c r="H37" s="69" t="inlineStr">
        <is>
          <t>Al Saada Complex</t>
        </is>
      </c>
      <c r="I37" s="28">
        <f>IFERROR(IF(SUM(C37:G37)&gt;24,"إجمالي &gt; 24 ساعة.",SUM(C37:G37)), "")</f>
        <v/>
      </c>
      <c r="J37" s="70" t="inlineStr">
        <is>
          <t xml:space="preserve">sellicon work of windows </t>
        </is>
      </c>
    </row>
    <row r="38" ht="30" customHeight="1" s="44">
      <c r="A38" s="54" t="inlineStr">
        <is>
          <t>إجمالي عدد الساعات :</t>
        </is>
      </c>
      <c r="B38" s="77" t="n"/>
      <c r="C38" s="78">
        <f>SUM(C7:C37) -  (COUNTIF(B7:B37, "AWO") * 8)</f>
        <v/>
      </c>
      <c r="D38" s="79">
        <f>IFERROR(SUM(D7:D37), "")</f>
        <v/>
      </c>
      <c r="E38" s="79">
        <f>IFERROR(SUM(E7:E37), "")</f>
        <v/>
      </c>
      <c r="F38" s="79">
        <f>IFERROR(SUM(F7:F37), "")</f>
        <v/>
      </c>
      <c r="G38" s="13" t="n"/>
      <c r="H38" s="80" t="n"/>
      <c r="I38" s="32" t="inlineStr">
        <is>
          <t>الملاحظات :</t>
        </is>
      </c>
      <c r="J38" s="81" t="n"/>
    </row>
    <row r="39" ht="30" customHeight="1" s="44">
      <c r="A39" s="54" t="inlineStr">
        <is>
          <t>إجمالي عدد ايام الدوام :</t>
        </is>
      </c>
      <c r="B39" s="77" t="n"/>
      <c r="C39" s="82">
        <f>COUNTIF(B7:B37, "P") + COUNTIF(B7:B37, "W") + COUNTIF(B7:B37, "H") + COUNTIF(B7:B37, "A") + COUNTIF(B7:B37, "AWO")-C40</f>
        <v/>
      </c>
      <c r="D39" s="82" t="n"/>
      <c r="E39" s="82" t="n"/>
      <c r="F39" s="82" t="n"/>
      <c r="G39" s="35" t="inlineStr">
        <is>
          <t>الاجازات المرضية</t>
        </is>
      </c>
      <c r="H39" s="83">
        <f>COUNTIF(B7:B37,"sl")</f>
        <v/>
      </c>
      <c r="I39" s="46">
        <f>COUNTIFS(G7:G37, "SL", G7:G37, "&lt;=3")</f>
        <v/>
      </c>
      <c r="J39" s="81" t="n"/>
    </row>
    <row r="40" ht="37.2" customHeight="1" s="44">
      <c r="A40" s="54" t="inlineStr">
        <is>
          <t>إجمالي عدد ايام الغياب :</t>
        </is>
      </c>
      <c r="B40" s="77" t="n"/>
      <c r="C40" s="82">
        <f>COUNTIF(B7:B37,"A")+COUNTIF(B7:B37,"AWO")*2</f>
        <v/>
      </c>
      <c r="D40" s="82" t="n"/>
      <c r="E40" s="82" t="n"/>
      <c r="F40" s="82" t="n"/>
      <c r="G40" s="33" t="inlineStr">
        <is>
          <t>قيمة الخصم الاضافي</t>
        </is>
      </c>
      <c r="H40" s="84" t="n">
        <v>0</v>
      </c>
      <c r="I40" s="47" t="n"/>
      <c r="J40" s="81" t="n"/>
    </row>
    <row r="41" ht="37.2" customHeight="1" s="44">
      <c r="A41" s="54" t="inlineStr">
        <is>
          <t>قيمة الخصم :</t>
        </is>
      </c>
      <c r="B41" s="77" t="n"/>
      <c r="C41" s="85">
        <f>COUNTIF(B7:B37,"AWO") * 2 * I3 +COUNTIF(B7:B37, "A") * I3</f>
        <v/>
      </c>
      <c r="D41" s="82" t="n"/>
      <c r="E41" s="82" t="n"/>
      <c r="F41" s="86" t="n"/>
      <c r="G41" s="35" t="inlineStr">
        <is>
          <t>مجموع الخصم :</t>
        </is>
      </c>
      <c r="H41" s="84">
        <f>SUM(C41+H40)</f>
        <v/>
      </c>
      <c r="I41" s="48" t="n"/>
      <c r="J41" s="81" t="n"/>
    </row>
    <row r="42" ht="37.2" customHeight="1" s="44">
      <c r="A42" s="54" t="inlineStr">
        <is>
          <t>إجمالي الأجر بعد الخصم :</t>
        </is>
      </c>
      <c r="B42" s="77" t="n"/>
      <c r="C42" s="87">
        <f>IF(F4&lt;&gt;"", I2/(DAY(EOMONTH(F2,0))*8)*C38, "")</f>
        <v/>
      </c>
      <c r="D42" s="87">
        <f>IFERROR(I2/(DAY(EOMONTH(F2,0))*8)*1.25*D38, "")</f>
        <v/>
      </c>
      <c r="E42" s="87">
        <f>IFERROR(I2/(DAY(EOMONTH(F2,0))*8)*1.5*E38, "")</f>
        <v/>
      </c>
      <c r="F42" s="87">
        <f>IFERROR(I2/(DAY(EOMONTH(F2,0))*8)*2.5*F38, "")</f>
        <v/>
      </c>
      <c r="G42" s="66" t="inlineStr">
        <is>
          <t>: الإجمالي</t>
        </is>
      </c>
      <c r="H42" s="77" t="n"/>
      <c r="I42" s="67">
        <f>IFERROR(SUM(C42:F42), "") - H40</f>
        <v/>
      </c>
      <c r="J42" s="81" t="n"/>
    </row>
    <row r="43" ht="34.2" customHeight="1" s="44">
      <c r="A43" s="17" t="inlineStr">
        <is>
          <t xml:space="preserve">التاريخ : </t>
        </is>
      </c>
      <c r="B43" s="88">
        <f>TODAY()</f>
        <v/>
      </c>
      <c r="C43" s="89" t="n"/>
      <c r="D43" s="90" t="inlineStr">
        <is>
          <t xml:space="preserve">توقيع الموظف : </t>
        </is>
      </c>
      <c r="E43" s="90" t="n"/>
      <c r="F43" s="90" t="n"/>
      <c r="G43" s="23" t="inlineStr">
        <is>
          <t xml:space="preserve">توقيع المدير : </t>
        </is>
      </c>
      <c r="H43" s="91" t="n"/>
      <c r="I43" s="18" t="n"/>
      <c r="J43" s="81" t="n"/>
    </row>
    <row r="44">
      <c r="A44" s="19" t="n"/>
      <c r="B44" s="92" t="n"/>
      <c r="C44" s="92" t="n"/>
      <c r="D44" s="92" t="n"/>
      <c r="E44" s="92" t="n"/>
      <c r="F44" s="92" t="n"/>
      <c r="G44" s="19" t="n"/>
      <c r="H44" s="92" t="n"/>
      <c r="I44" s="19" t="n"/>
      <c r="J44" s="81" t="n"/>
    </row>
    <row r="45">
      <c r="A45" s="19" t="n"/>
      <c r="B45" s="92" t="n"/>
      <c r="C45" s="92" t="n"/>
      <c r="D45" s="92" t="n"/>
      <c r="E45" s="92" t="n"/>
      <c r="F45" s="92" t="n"/>
      <c r="G45" s="19" t="n"/>
      <c r="H45" s="92" t="n"/>
      <c r="I45" s="19" t="n"/>
      <c r="J45" s="81" t="n"/>
    </row>
    <row r="46">
      <c r="B46" s="81" t="n"/>
      <c r="C46" s="81" t="n"/>
      <c r="D46" s="81" t="n"/>
      <c r="E46" s="81" t="n"/>
      <c r="F46" s="81" t="n"/>
      <c r="H46" s="81" t="n"/>
      <c r="J46" s="81" t="n"/>
    </row>
    <row r="47">
      <c r="B47" s="81" t="n"/>
      <c r="C47" s="81" t="n"/>
      <c r="D47" s="81" t="n"/>
      <c r="E47" s="81" t="n"/>
      <c r="F47" s="81" t="n"/>
      <c r="H47" s="81" t="n"/>
      <c r="J47" s="81" t="n"/>
    </row>
    <row r="48">
      <c r="B48" s="81" t="n"/>
      <c r="C48" s="81" t="n"/>
      <c r="D48" s="81" t="n"/>
      <c r="E48" s="81" t="n"/>
      <c r="F48" s="81" t="n"/>
      <c r="H48" s="81" t="n"/>
      <c r="J48" s="81" t="n"/>
    </row>
    <row r="49">
      <c r="B49" s="81" t="n"/>
      <c r="C49" s="81" t="n"/>
      <c r="D49" s="81" t="n"/>
      <c r="E49" s="81" t="n"/>
      <c r="F49" s="81" t="n"/>
      <c r="H49" s="81" t="n"/>
      <c r="J49" s="81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1400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شمس الرحمن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inlineStr">
        <is>
          <t>Weekend</t>
        </is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Al Shahama complex</t>
        </is>
      </c>
      <c r="I8" s="34">
        <f>IFERROR(IF(SUM(C8:G8)&gt;24,"إجمالي &gt; 24 ساعة.",SUM(C8:G8)), "")</f>
        <v/>
      </c>
      <c r="J8" s="70" t="inlineStr">
        <is>
          <t xml:space="preserve">Cleaning work in villa . also he works for helping </t>
        </is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Al Shahama complex</t>
        </is>
      </c>
      <c r="I9" s="28">
        <f>IFERROR(IF(SUM(C9:G9)&gt;24,"إجمالي &gt; 24 ساعة.",SUM(C9:G9)), "")</f>
        <v/>
      </c>
      <c r="J9" s="70" t="inlineStr">
        <is>
          <t xml:space="preserve">Cleaning work in villa </t>
        </is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Al Shahama complex</t>
        </is>
      </c>
      <c r="I10" s="34">
        <f>IFERROR(IF(SUM(C10:G10)&gt;24,"إجمالي &gt; 24 ساعة.",SUM(C10:G10)), "")</f>
        <v/>
      </c>
      <c r="J10" s="70" t="inlineStr">
        <is>
          <t xml:space="preserve">Cleaning work in villa </t>
        </is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>
        <v>1</v>
      </c>
      <c r="E11" s="68" t="n"/>
      <c r="F11" s="68" t="n"/>
      <c r="G11" s="26">
        <f>IF(B11="SL","SL","")</f>
        <v/>
      </c>
      <c r="H11" s="69" t="inlineStr">
        <is>
          <t>Al Shahama complex</t>
        </is>
      </c>
      <c r="I11" s="28">
        <f>IFERROR(IF(SUM(C11:G11)&gt;24,"إجمالي &gt; 24 ساعة.",SUM(C11:G11)), "")</f>
        <v/>
      </c>
      <c r="J11" s="70" t="inlineStr">
        <is>
          <t>cleaning work in villa also water leaking cheak in flat 2</t>
        </is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Al Shahama complex</t>
        </is>
      </c>
      <c r="I12" s="34">
        <f>IFERROR(IF(SUM(C12:G12)&gt;24,"إجمالي &gt; 24 ساعة.",SUM(C12:G12)), "")</f>
        <v/>
      </c>
      <c r="J12" s="70" t="inlineStr">
        <is>
          <t xml:space="preserve">Cleaning work in villa </t>
        </is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Al Shahama complex</t>
        </is>
      </c>
      <c r="I13" s="28">
        <f>IFERROR(IF(SUM(C13:G13)&gt;24,"إجمالي &gt; 24 ساعة.",SUM(C13:G13)), "")</f>
        <v/>
      </c>
      <c r="J13" s="70" t="inlineStr">
        <is>
          <t xml:space="preserve">Cleaning work in villa 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>
        <v>2</v>
      </c>
      <c r="E14" s="74" t="n"/>
      <c r="F14" s="74" t="n"/>
      <c r="G14" s="29">
        <f>IF(B14="SL","SL","")</f>
        <v/>
      </c>
      <c r="H14" s="75" t="inlineStr">
        <is>
          <t>Al Shahama complex</t>
        </is>
      </c>
      <c r="I14" s="34">
        <f>IFERROR(IF(SUM(C14:G14)&gt;24,"إجمالي &gt; 24 ساعة.",SUM(C14:G14)), "")</f>
        <v/>
      </c>
      <c r="J14" s="70" t="inlineStr">
        <is>
          <t>Weekend</t>
        </is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Al Shahama complex</t>
        </is>
      </c>
      <c r="I15" s="28">
        <f>IFERROR(IF(SUM(C15:G15)&gt;24,"إجمالي &gt; 24 ساعة.",SUM(C15:G15)), "")</f>
        <v/>
      </c>
      <c r="J15" s="70" t="inlineStr">
        <is>
          <t xml:space="preserve">Cleaning work in villa </t>
        </is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Farm 826</t>
        </is>
      </c>
      <c r="I16" s="34">
        <f>IFERROR(IF(SUM(C16:G16)&gt;24,"إجمالي &gt; 24 ساعة.",SUM(C16:G16)), "")</f>
        <v/>
      </c>
      <c r="J16" s="70" t="inlineStr">
        <is>
          <t>Ac work in farm villa</t>
        </is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>
        <v>1</v>
      </c>
      <c r="E17" s="68" t="n"/>
      <c r="F17" s="68" t="n"/>
      <c r="G17" s="26">
        <f>IF(B17="SL","SL","")</f>
        <v/>
      </c>
      <c r="H17" s="69" t="inlineStr">
        <is>
          <t>Saqia 72</t>
        </is>
      </c>
      <c r="I17" s="28">
        <f>IFERROR(IF(SUM(C17:G17)&gt;24,"إجمالي &gt; 24 ساعة.",SUM(C17:G17)), "")</f>
        <v/>
      </c>
      <c r="J17" s="70" t="inlineStr">
        <is>
          <t xml:space="preserve">he fix light with Jumma in p72.. </t>
        </is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Saqia 72</t>
        </is>
      </c>
      <c r="I18" s="34">
        <f>IFERROR(IF(SUM(C18:G18)&gt;24,"إجمالي &gt; 24 ساعة.",SUM(C18:G18)), "")</f>
        <v/>
      </c>
      <c r="J18" s="70" t="inlineStr">
        <is>
          <t>he fix light in p72store</t>
        </is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Al Shahama complex</t>
        </is>
      </c>
      <c r="I19" s="28">
        <f>IFERROR(IF(SUM(C19:G19)&gt;24,"إجمالي &gt; 24 ساعة.",SUM(C19:G19)), "")</f>
        <v/>
      </c>
      <c r="J19" s="70" t="inlineStr">
        <is>
          <t xml:space="preserve">Cleaning work in villa </t>
        </is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Al Shahama complex</t>
        </is>
      </c>
      <c r="I20" s="34">
        <f>IFERROR(IF(SUM(C20:G20)&gt;24,"إجمالي &gt; 24 ساعة.",SUM(C20:G20)), "")</f>
        <v/>
      </c>
      <c r="J20" s="70" t="inlineStr">
        <is>
          <t xml:space="preserve">cleaning work in villa </t>
        </is>
      </c>
    </row>
    <row r="21" ht="32" customHeight="1" s="44">
      <c r="A21" s="61" t="n">
        <v>46096</v>
      </c>
      <c r="B21" s="68" t="inlineStr">
        <is>
          <t>P</t>
        </is>
      </c>
      <c r="C21" s="68" t="n"/>
      <c r="D21" s="68" t="n"/>
      <c r="E21" s="68" t="n"/>
      <c r="F21" s="68" t="n"/>
      <c r="G21" s="26">
        <f>IF(B21="SL","SL","")</f>
        <v/>
      </c>
      <c r="H21" s="69" t="n">
        <v/>
      </c>
      <c r="I21" s="28">
        <f>IFERROR(IF(SUM(C21:G21)&gt;24,"إجمالي &gt; 24 ساعة.",SUM(C21:G21)), "")</f>
        <v/>
      </c>
      <c r="J21" s="70" t="inlineStr">
        <is>
          <t>Weekend</t>
        </is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Al Salam Complex</t>
        </is>
      </c>
      <c r="I22" s="34">
        <f>IFERROR(IF(SUM(C21:G21)&gt;24,"إجمالي &gt; 24 ساعة.",SUM(C21:G21)), "")</f>
        <v/>
      </c>
      <c r="J22" s="70" t="inlineStr">
        <is>
          <t>he service Ac in corridor ac</t>
        </is>
      </c>
    </row>
    <row r="23" ht="32" customHeight="1" s="44">
      <c r="A23" s="61" t="n">
        <v>46098</v>
      </c>
      <c r="B23" s="68" t="inlineStr">
        <is>
          <t>P</t>
        </is>
      </c>
      <c r="C23" s="68" t="n">
        <v>7</v>
      </c>
      <c r="D23" s="68" t="n"/>
      <c r="E23" s="68" t="n"/>
      <c r="F23" s="68" t="n"/>
      <c r="G23" s="26">
        <f>IF(B23="SL","SL","")</f>
        <v/>
      </c>
      <c r="H23" s="69" t="inlineStr">
        <is>
          <t>Adil Villa -1hrs + Al Salam Complex 8hrs</t>
        </is>
      </c>
      <c r="I23" s="28">
        <f>IFERROR(IF(SUM(C23:G23)&gt;24,"إجمالي &gt; 24 ساعة.",SUM(C23:G23)), "")</f>
        <v/>
      </c>
      <c r="J23" s="70" t="inlineStr">
        <is>
          <t>Ac work also dran work</t>
        </is>
      </c>
    </row>
    <row r="24" ht="32" customHeight="1" s="44">
      <c r="A24" s="62" t="n">
        <v>46099</v>
      </c>
      <c r="B24" s="71" t="inlineStr">
        <is>
          <t>V</t>
        </is>
      </c>
      <c r="C24" s="72" t="n"/>
      <c r="D24" s="71" t="n"/>
      <c r="E24" s="74" t="n"/>
      <c r="F24" s="74" t="n"/>
      <c r="G24" s="29">
        <f>IF(B24="SL","SL","")</f>
        <v/>
      </c>
      <c r="H24" s="75" t="n">
        <v/>
      </c>
      <c r="I24" s="34">
        <f>IFERROR(IF(SUM(C24:G24)&gt;24,"إجمالي &gt; 24 ساعة.",SUM(C24:G24)), "")</f>
        <v/>
      </c>
      <c r="J24" s="70" t="inlineStr">
        <is>
          <t>Vacation</t>
        </is>
      </c>
    </row>
    <row r="25" ht="32" customHeight="1" s="44">
      <c r="A25" s="61" t="n">
        <v>46100</v>
      </c>
      <c r="B25" s="68" t="inlineStr">
        <is>
          <t>V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inlineStr">
        <is>
          <t xml:space="preserve">yearly vacation </t>
        </is>
      </c>
    </row>
    <row r="26" ht="32" customHeight="1" s="44">
      <c r="A26" s="62" t="n">
        <v>46101</v>
      </c>
      <c r="B26" s="71" t="inlineStr">
        <is>
          <t>V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68" t="inlineStr">
        <is>
          <t>V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inlineStr">
        <is>
          <t>Vacation</t>
        </is>
      </c>
    </row>
    <row r="28" ht="32" customHeight="1" s="44">
      <c r="A28" s="62" t="n">
        <v>46103</v>
      </c>
      <c r="B28" s="71" t="inlineStr">
        <is>
          <t>V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inlineStr">
        <is>
          <t xml:space="preserve">yearly vacation </t>
        </is>
      </c>
    </row>
    <row r="29" ht="32" customHeight="1" s="44">
      <c r="A29" s="61" t="n">
        <v>46104</v>
      </c>
      <c r="B29" s="68" t="inlineStr">
        <is>
          <t>V</t>
        </is>
      </c>
      <c r="C29" s="68" t="n"/>
      <c r="D29" s="68" t="n"/>
      <c r="E29" s="68" t="n"/>
      <c r="F29" s="68" t="n"/>
      <c r="G29" s="26">
        <f>IF(B29="SL","SL","")</f>
        <v/>
      </c>
      <c r="H29" s="69" t="n">
        <v/>
      </c>
      <c r="I29" s="28">
        <f>IFERROR(IF(SUM(C29:G29)&gt;24,"إجمالي &gt; 24 ساعة.",SUM(C29:G29)), "")</f>
        <v/>
      </c>
      <c r="J29" s="70" t="inlineStr">
        <is>
          <t xml:space="preserve">yearly vacation </t>
        </is>
      </c>
    </row>
    <row r="30" ht="32" customHeight="1" s="44">
      <c r="A30" s="62" t="n">
        <v>46105</v>
      </c>
      <c r="B30" s="71" t="inlineStr">
        <is>
          <t>V</t>
        </is>
      </c>
      <c r="C30" s="72" t="n"/>
      <c r="D30" s="71" t="n"/>
      <c r="E30" s="74" t="n"/>
      <c r="F30" s="74" t="n"/>
      <c r="G30" s="29">
        <f>IF(B30="SL","SL","")</f>
        <v/>
      </c>
      <c r="H30" s="75" t="n">
        <v/>
      </c>
      <c r="I30" s="34">
        <f>IFERROR(IF(SUM(C30:G30)&gt;24,"إجمالي &gt; 24 ساعة.",SUM(C30:G30)), "")</f>
        <v/>
      </c>
      <c r="J30" s="70" t="inlineStr">
        <is>
          <t xml:space="preserve">yearly vacation </t>
        </is>
      </c>
    </row>
    <row r="31" ht="32" customHeight="1" s="44">
      <c r="A31" s="61" t="n">
        <v>46106</v>
      </c>
      <c r="B31" s="68" t="inlineStr">
        <is>
          <t>V</t>
        </is>
      </c>
      <c r="C31" s="68" t="n"/>
      <c r="D31" s="68" t="n"/>
      <c r="E31" s="68" t="n"/>
      <c r="F31" s="68" t="n"/>
      <c r="G31" s="26">
        <f>IF(B31="SL","SL","")</f>
        <v/>
      </c>
      <c r="H31" s="69" t="n">
        <v/>
      </c>
      <c r="I31" s="28">
        <f>IFERROR(IF(SUM(C31:G31)&gt;24,"إجمالي &gt; 24 ساعة.",SUM(C31:G31)), "")</f>
        <v/>
      </c>
      <c r="J31" s="70" t="inlineStr">
        <is>
          <t xml:space="preserve">yearly vacation </t>
        </is>
      </c>
    </row>
    <row r="32" ht="32" customHeight="1" s="44">
      <c r="A32" s="62" t="n">
        <v>46107</v>
      </c>
      <c r="B32" s="71" t="inlineStr">
        <is>
          <t>V</t>
        </is>
      </c>
      <c r="C32" s="72" t="n"/>
      <c r="D32" s="71" t="n"/>
      <c r="E32" s="74" t="n"/>
      <c r="F32" s="74" t="n"/>
      <c r="G32" s="29">
        <f>IF(B32="SL","SL","")</f>
        <v/>
      </c>
      <c r="H32" s="75" t="n">
        <v/>
      </c>
      <c r="I32" s="34">
        <f>IFERROR(IF(SUM(C32:G32)&gt;24,"إجمالي &gt; 24 ساعة.",SUM(C32:G32)), "")</f>
        <v/>
      </c>
      <c r="J32" s="70" t="inlineStr">
        <is>
          <t xml:space="preserve">yearly vacation </t>
        </is>
      </c>
    </row>
    <row r="33" ht="32" customHeight="1" s="44">
      <c r="A33" s="61" t="n">
        <v>46108</v>
      </c>
      <c r="B33" s="68" t="inlineStr">
        <is>
          <t>V</t>
        </is>
      </c>
      <c r="C33" s="68" t="n"/>
      <c r="D33" s="68" t="n"/>
      <c r="E33" s="68" t="n"/>
      <c r="F33" s="68" t="n"/>
      <c r="G33" s="26">
        <f>IF(B33="SL","SL","")</f>
        <v/>
      </c>
      <c r="H33" s="69" t="n">
        <v/>
      </c>
      <c r="I33" s="28">
        <f>IFERROR(IF(SUM(C33:G33)&gt;24,"إجمالي &gt; 24 ساعة.",SUM(C33:G33)), "")</f>
        <v/>
      </c>
      <c r="J33" s="70" t="inlineStr">
        <is>
          <t xml:space="preserve">yearly vacation </t>
        </is>
      </c>
    </row>
    <row r="34" ht="32" customHeight="1" s="44">
      <c r="A34" s="62" t="n">
        <v>46109</v>
      </c>
      <c r="B34" s="76" t="inlineStr">
        <is>
          <t>V</t>
        </is>
      </c>
      <c r="C34" s="72" t="n"/>
      <c r="D34" s="74" t="n"/>
      <c r="E34" s="74" t="n"/>
      <c r="F34" s="74" t="n"/>
      <c r="G34" s="29">
        <f>IF(B34="SL","SL","")</f>
        <v/>
      </c>
      <c r="H34" s="75" t="n">
        <v/>
      </c>
      <c r="I34" s="34">
        <f>IFERROR(IF(SUM(C34:G34)&gt;24,"إجمالي &gt; 24 ساعة.",SUM(C34:G34)), "")</f>
        <v/>
      </c>
      <c r="J34" s="70" t="inlineStr">
        <is>
          <t xml:space="preserve">yearly vacation </t>
        </is>
      </c>
    </row>
    <row r="35" ht="32" customHeight="1" s="44">
      <c r="A35" s="61" t="n">
        <v>46110</v>
      </c>
      <c r="B35" s="68" t="inlineStr">
        <is>
          <t>V</t>
        </is>
      </c>
      <c r="C35" s="68" t="n"/>
      <c r="D35" s="68" t="n"/>
      <c r="E35" s="68" t="n"/>
      <c r="F35" s="68" t="n"/>
      <c r="G35" s="26">
        <f>IF(B35="SL","SL","")</f>
        <v/>
      </c>
      <c r="H35" s="69" t="n">
        <v/>
      </c>
      <c r="I35" s="28">
        <f>IFERROR(IF(SUM(C35:G35)&gt;24,"إجمالي &gt; 24 ساعة.",SUM(C35:G35)), "")</f>
        <v/>
      </c>
      <c r="J35" s="70" t="inlineStr">
        <is>
          <t xml:space="preserve">yearly vacation </t>
        </is>
      </c>
    </row>
    <row r="36" ht="32" customHeight="1" s="44">
      <c r="A36" s="62" t="n">
        <v>46111</v>
      </c>
      <c r="B36" s="76" t="inlineStr">
        <is>
          <t>V</t>
        </is>
      </c>
      <c r="C36" s="72" t="n"/>
      <c r="D36" s="74" t="n"/>
      <c r="E36" s="74" t="n"/>
      <c r="F36" s="74" t="n"/>
      <c r="G36" s="29" t="n"/>
      <c r="H36" s="75" t="n">
        <v/>
      </c>
      <c r="I36" s="34">
        <f>IFERROR(IF(SUM(C36:G36)&gt;24,"إجمالي &gt; 24 ساعة.",SUM(C36:G36)), "")</f>
        <v/>
      </c>
      <c r="J36" s="70" t="inlineStr">
        <is>
          <t xml:space="preserve">yearly vacation </t>
        </is>
      </c>
    </row>
    <row r="37" ht="32" customHeight="1" s="44">
      <c r="A37" s="61" t="n">
        <v>46112</v>
      </c>
      <c r="B37" s="68" t="inlineStr">
        <is>
          <t>V</t>
        </is>
      </c>
      <c r="C37" s="68" t="n"/>
      <c r="D37" s="68" t="n"/>
      <c r="E37" s="68" t="n"/>
      <c r="F37" s="68" t="n"/>
      <c r="G37" s="26" t="n"/>
      <c r="H37" s="69" t="n">
        <v/>
      </c>
      <c r="I37" s="28">
        <f>IFERROR(IF(SUM(C37:G37)&gt;24,"إجمالي &gt; 24 ساعة.",SUM(C37:G37)), "")</f>
        <v/>
      </c>
      <c r="J37" s="70" t="inlineStr">
        <is>
          <t xml:space="preserve">yearly vacation </t>
        </is>
      </c>
    </row>
    <row r="38" ht="30" customHeight="1" s="44">
      <c r="A38" s="54" t="inlineStr">
        <is>
          <t>إجمالي عدد الساعات :</t>
        </is>
      </c>
      <c r="B38" s="77" t="n"/>
      <c r="C38" s="78">
        <f>SUM(C7:C37) -  (COUNTIF(B7:B37, "AWO") * 8)</f>
        <v/>
      </c>
      <c r="D38" s="79">
        <f>IFERROR(SUM(D7:D37), "")</f>
        <v/>
      </c>
      <c r="E38" s="79">
        <f>IFERROR(SUM(E7:E37), "")</f>
        <v/>
      </c>
      <c r="F38" s="79">
        <f>IFERROR(SUM(F7:F37), "")</f>
        <v/>
      </c>
      <c r="G38" s="13" t="n"/>
      <c r="H38" s="80" t="n"/>
      <c r="I38" s="32" t="inlineStr">
        <is>
          <t>الملاحظات :</t>
        </is>
      </c>
      <c r="J38" s="81" t="n"/>
    </row>
    <row r="39" ht="30" customHeight="1" s="44">
      <c r="A39" s="54" t="inlineStr">
        <is>
          <t>إجمالي عدد ايام الدوام :</t>
        </is>
      </c>
      <c r="B39" s="77" t="n"/>
      <c r="C39" s="82">
        <f>COUNTIF(B7:B37, "P") + COUNTIF(B7:B37, "W") + COUNTIF(B7:B37, "H") + COUNTIF(B7:B37, "A") + COUNTIF(B7:B37, "AWO")-C40</f>
        <v/>
      </c>
      <c r="D39" s="82" t="n"/>
      <c r="E39" s="82" t="n"/>
      <c r="F39" s="82" t="n"/>
      <c r="G39" s="35" t="inlineStr">
        <is>
          <t>الاجازات المرضية</t>
        </is>
      </c>
      <c r="H39" s="83">
        <f>COUNTIF(B7:B37,"sl")</f>
        <v/>
      </c>
      <c r="I39" s="46">
        <f>COUNTIFS(G7:G37, "SL", G7:G37, "&lt;=3")</f>
        <v/>
      </c>
      <c r="J39" s="81" t="n"/>
    </row>
    <row r="40" ht="37.2" customHeight="1" s="44">
      <c r="A40" s="54" t="inlineStr">
        <is>
          <t>إجمالي عدد ايام الغياب :</t>
        </is>
      </c>
      <c r="B40" s="77" t="n"/>
      <c r="C40" s="82">
        <f>COUNTIF(B7:B37,"A")+COUNTIF(B7:B37,"AWO")*2</f>
        <v/>
      </c>
      <c r="D40" s="82" t="n"/>
      <c r="E40" s="82" t="n"/>
      <c r="F40" s="82" t="n"/>
      <c r="G40" s="33" t="inlineStr">
        <is>
          <t>قيمة الخصم الاضافي</t>
        </is>
      </c>
      <c r="H40" s="84" t="n">
        <v>0</v>
      </c>
      <c r="I40" s="47" t="n"/>
      <c r="J40" s="81" t="n"/>
    </row>
    <row r="41" ht="37.2" customHeight="1" s="44">
      <c r="A41" s="54" t="inlineStr">
        <is>
          <t>قيمة الخصم :</t>
        </is>
      </c>
      <c r="B41" s="77" t="n"/>
      <c r="C41" s="85">
        <f>COUNTIF(B7:B37,"AWO") * 2 * I3 +COUNTIF(B7:B37, "A") * I3</f>
        <v/>
      </c>
      <c r="D41" s="82" t="n"/>
      <c r="E41" s="82" t="n"/>
      <c r="F41" s="86" t="n"/>
      <c r="G41" s="35" t="inlineStr">
        <is>
          <t>مجموع الخصم :</t>
        </is>
      </c>
      <c r="H41" s="84">
        <f>SUM(C41+H40)</f>
        <v/>
      </c>
      <c r="I41" s="48" t="n"/>
      <c r="J41" s="81" t="n"/>
    </row>
    <row r="42" ht="37.2" customHeight="1" s="44">
      <c r="A42" s="54" t="inlineStr">
        <is>
          <t>إجمالي الأجر بعد الخصم :</t>
        </is>
      </c>
      <c r="B42" s="77" t="n"/>
      <c r="C42" s="87">
        <f>IF(F4&lt;&gt;"", I2/(DAY(EOMONTH(F2,0))*8)*C38, "")</f>
        <v/>
      </c>
      <c r="D42" s="87">
        <f>IFERROR(I2/(DAY(EOMONTH(F2,0))*8)*1.25*D38, "")</f>
        <v/>
      </c>
      <c r="E42" s="87">
        <f>IFERROR(I2/(DAY(EOMONTH(F2,0))*8)*1.5*E38, "")</f>
        <v/>
      </c>
      <c r="F42" s="87">
        <f>IFERROR(I2/(DAY(EOMONTH(F2,0))*8)*2.5*F38, "")</f>
        <v/>
      </c>
      <c r="G42" s="66" t="inlineStr">
        <is>
          <t>: الإجمالي</t>
        </is>
      </c>
      <c r="H42" s="77" t="n"/>
      <c r="I42" s="67">
        <f>IFERROR(SUM(C42:F42), "") - H40</f>
        <v/>
      </c>
      <c r="J42" s="81" t="n"/>
    </row>
    <row r="43" ht="34.2" customHeight="1" s="44">
      <c r="A43" s="17" t="inlineStr">
        <is>
          <t xml:space="preserve">التاريخ : </t>
        </is>
      </c>
      <c r="B43" s="88">
        <f>TODAY()</f>
        <v/>
      </c>
      <c r="C43" s="89" t="n"/>
      <c r="D43" s="90" t="inlineStr">
        <is>
          <t xml:space="preserve">توقيع الموظف : </t>
        </is>
      </c>
      <c r="E43" s="90" t="n"/>
      <c r="F43" s="90" t="n"/>
      <c r="G43" s="23" t="inlineStr">
        <is>
          <t xml:space="preserve">توقيع المدير : </t>
        </is>
      </c>
      <c r="H43" s="91" t="n"/>
      <c r="I43" s="18" t="n"/>
      <c r="J43" s="81" t="n"/>
    </row>
    <row r="44">
      <c r="A44" s="19" t="n"/>
      <c r="B44" s="92" t="n"/>
      <c r="C44" s="92" t="n"/>
      <c r="D44" s="92" t="n"/>
      <c r="E44" s="92" t="n"/>
      <c r="F44" s="92" t="n"/>
      <c r="G44" s="19" t="n"/>
      <c r="H44" s="92" t="n"/>
      <c r="I44" s="19" t="n"/>
      <c r="J44" s="81" t="n"/>
    </row>
    <row r="45">
      <c r="A45" s="19" t="n"/>
      <c r="B45" s="92" t="n"/>
      <c r="C45" s="92" t="n"/>
      <c r="D45" s="92" t="n"/>
      <c r="E45" s="92" t="n"/>
      <c r="F45" s="92" t="n"/>
      <c r="G45" s="19" t="n"/>
      <c r="H45" s="92" t="n"/>
      <c r="I45" s="19" t="n"/>
      <c r="J45" s="81" t="n"/>
    </row>
    <row r="46">
      <c r="B46" s="81" t="n"/>
      <c r="C46" s="81" t="n"/>
      <c r="D46" s="81" t="n"/>
      <c r="E46" s="81" t="n"/>
      <c r="F46" s="81" t="n"/>
      <c r="H46" s="81" t="n"/>
      <c r="J46" s="81" t="n"/>
    </row>
    <row r="47">
      <c r="B47" s="81" t="n"/>
      <c r="C47" s="81" t="n"/>
      <c r="D47" s="81" t="n"/>
      <c r="E47" s="81" t="n"/>
      <c r="F47" s="81" t="n"/>
      <c r="H47" s="81" t="n"/>
      <c r="J47" s="81" t="n"/>
    </row>
    <row r="48">
      <c r="B48" s="81" t="n"/>
      <c r="C48" s="81" t="n"/>
      <c r="D48" s="81" t="n"/>
      <c r="E48" s="81" t="n"/>
      <c r="F48" s="81" t="n"/>
      <c r="H48" s="81" t="n"/>
      <c r="J48" s="81" t="n"/>
    </row>
    <row r="49">
      <c r="B49" s="81" t="n"/>
      <c r="C49" s="81" t="n"/>
      <c r="D49" s="81" t="n"/>
      <c r="E49" s="81" t="n"/>
      <c r="F49" s="81" t="n"/>
      <c r="H49" s="81" t="n"/>
      <c r="J49" s="81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1400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رحمت الله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Al Salam Complex</t>
        </is>
      </c>
      <c r="I7" s="28">
        <f>IFERROR(IF(SUM(C7:G7)&gt;24,"إجمالي &gt; 24 ساعة.",SUM(C7:G7)), "")</f>
        <v/>
      </c>
      <c r="J7" s="70" t="inlineStr">
        <is>
          <t>Weekend</t>
        </is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Al Salam Complex</t>
        </is>
      </c>
      <c r="I8" s="34">
        <f>IFERROR(IF(SUM(C8:G8)&gt;24,"إجمالي &gt; 24 ساعة.",SUM(C8:G8)), "")</f>
        <v/>
      </c>
      <c r="J8" s="70" t="inlineStr">
        <is>
          <t xml:space="preserve">Cleaning work in villa . </t>
        </is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Saqia 20</t>
        </is>
      </c>
      <c r="I9" s="28">
        <f>IFERROR(IF(SUM(C9:G9)&gt;24,"إجمالي &gt; 24 ساعة.",SUM(C9:G9)), "")</f>
        <v/>
      </c>
      <c r="J9" s="70" t="inlineStr">
        <is>
          <t xml:space="preserve">he make Ac in  office 8.also Ac service </t>
        </is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Saqia 20</t>
        </is>
      </c>
      <c r="I10" s="34">
        <f>IFERROR(IF(SUM(C10:G10)&gt;24,"إجمالي &gt; 24 ساعة.",SUM(C10:G10)), "")</f>
        <v/>
      </c>
      <c r="J10" s="70" t="inlineStr">
        <is>
          <t xml:space="preserve">he  repair water tanks in P20 </t>
        </is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Al Salam Complex</t>
        </is>
      </c>
      <c r="I11" s="28">
        <f>IFERROR(IF(SUM(C11:G11)&gt;24,"إجمالي &gt; 24 ساعة.",SUM(C11:G11)), "")</f>
        <v/>
      </c>
      <c r="J11" s="70" t="inlineStr">
        <is>
          <t>Cleaning work in villa . also as and toilets work</t>
        </is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Al Salam Complex</t>
        </is>
      </c>
      <c r="I12" s="34">
        <f>IFERROR(IF(SUM(C12:G12)&gt;24,"إجمالي &gt; 24 ساعة.",SUM(C12:G12)), "")</f>
        <v/>
      </c>
      <c r="J12" s="70" t="inlineStr">
        <is>
          <t>Cleaning work in villa . also Ac work</t>
        </is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Al Salam Complex</t>
        </is>
      </c>
      <c r="I13" s="28">
        <f>IFERROR(IF(SUM(C13:G13)&gt;24,"إجمالي &gt; 24 ساعة.",SUM(C13:G13)), "")</f>
        <v/>
      </c>
      <c r="J13" s="70" t="inlineStr">
        <is>
          <t xml:space="preserve">Cleaning work in villa 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Al Salam Complex</t>
        </is>
      </c>
      <c r="I14" s="34">
        <f>IFERROR(IF(SUM(C14:G14)&gt;24,"إجمالي &gt; 24 ساعة.",SUM(C14:G14)), "")</f>
        <v/>
      </c>
      <c r="J14" s="70" t="inlineStr">
        <is>
          <t>Weekend</t>
        </is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Al Shahama complex</t>
        </is>
      </c>
      <c r="I15" s="28">
        <f>IFERROR(IF(SUM(C15:G15)&gt;24,"إجمالي &gt; 24 ساعة.",SUM(C15:G15)), "")</f>
        <v/>
      </c>
      <c r="J15" s="70" t="inlineStr">
        <is>
          <t xml:space="preserve">Cleaning work in villa </t>
        </is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>
        <v>2</v>
      </c>
      <c r="E16" s="74" t="n"/>
      <c r="F16" s="74" t="n"/>
      <c r="G16" s="29">
        <f>IF(B16="SL","SL","")</f>
        <v/>
      </c>
      <c r="H16" s="75" t="inlineStr">
        <is>
          <t>Farm 826</t>
        </is>
      </c>
      <c r="I16" s="34">
        <f>IFERROR(IF(SUM(C16:G16)&gt;24,"إجمالي &gt; 24 ساعة.",SUM(C16:G16)), "")</f>
        <v/>
      </c>
      <c r="J16" s="70" t="inlineStr">
        <is>
          <t>he fix Ac  in farm villa</t>
        </is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Al Salam Complex</t>
        </is>
      </c>
      <c r="I17" s="28">
        <f>IFERROR(IF(SUM(C17:G17)&gt;24,"إجمالي &gt; 24 ساعة.",SUM(C17:G17)), "")</f>
        <v/>
      </c>
      <c r="J17" s="70" t="inlineStr">
        <is>
          <t xml:space="preserve">Cleaning work in villa </t>
        </is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Al Salam Complex</t>
        </is>
      </c>
      <c r="I18" s="34">
        <f>IFERROR(IF(SUM(C18:G18)&gt;24,"إجمالي &gt; 24 ساعة.",SUM(C18:G18)), "")</f>
        <v/>
      </c>
      <c r="J18" s="70" t="inlineStr">
        <is>
          <t xml:space="preserve">he collects scrap   in salam villa . </t>
        </is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Al Saada Complex</t>
        </is>
      </c>
      <c r="I19" s="28">
        <f>IFERROR(IF(SUM(C19:G19)&gt;24,"إجمالي &gt; 24 ساعة.",SUM(C19:G19)), "")</f>
        <v/>
      </c>
      <c r="J19" s="70" t="inlineStr">
        <is>
          <t xml:space="preserve">Ac work main entrance  Ac service </t>
        </is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Al Salam Complex</t>
        </is>
      </c>
      <c r="I20" s="34">
        <f>IFERROR(IF(SUM(C20:G20)&gt;24,"إجمالي &gt; 24 ساعة.",SUM(C20:G20)), "")</f>
        <v/>
      </c>
      <c r="J20" s="70" t="inlineStr">
        <is>
          <t xml:space="preserve">Cleaning work in villa 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Al Salam Complex</t>
        </is>
      </c>
      <c r="I21" s="28">
        <f>IFERROR(IF(SUM(C21:G21)&gt;24,"إجمالي &gt; 24 ساعة.",SUM(C21:G21)), "")</f>
        <v/>
      </c>
      <c r="J21" s="70" t="inlineStr">
        <is>
          <t>Weekend</t>
        </is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Al Salam Complex</t>
        </is>
      </c>
      <c r="I22" s="34">
        <f>IFERROR(IF(SUM(C21:G21)&gt;24,"إجمالي &gt; 24 ساعة.",SUM(C21:G21)), "")</f>
        <v/>
      </c>
      <c r="J22" s="70" t="inlineStr">
        <is>
          <t xml:space="preserve">Cleaning work in villa also corridor  Ac service </t>
        </is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Adil Villa 5hrs + Al Salam Complex 3hrs</t>
        </is>
      </c>
      <c r="I23" s="28">
        <f>IFERROR(IF(SUM(C23:G23)&gt;24,"إجمالي &gt; 24 ساعة.",SUM(C23:G23)), "")</f>
        <v/>
      </c>
      <c r="J23" s="70" t="inlineStr">
        <is>
          <t>Ac work in salam villa also in adill villa drange work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Al Salam Complex</t>
        </is>
      </c>
      <c r="I24" s="34">
        <f>IFERROR(IF(SUM(C24:G24)&gt;24,"إجمالي &gt; 24 ساعة.",SUM(C24:G24)), "")</f>
        <v/>
      </c>
      <c r="J24" s="70" t="inlineStr">
        <is>
          <t>Cleaning work in villa also painting work</t>
        </is>
      </c>
    </row>
    <row r="25" ht="32" customHeight="1" s="44">
      <c r="A25" s="61" t="n">
        <v>46100</v>
      </c>
      <c r="B25" s="68" t="inlineStr">
        <is>
          <t>P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Al Salam Complex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1" t="inlineStr">
        <is>
          <t>P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Al Salam Complex</t>
        </is>
      </c>
      <c r="I26" s="34">
        <f>IFERROR(IF(SUM(C26:G26)&gt;24,"إجمالي &gt; 24 ساعة.",SUM(C26:G26)), "")</f>
        <v/>
      </c>
      <c r="J26" s="70" t="inlineStr">
        <is>
          <t xml:space="preserve">Holiday. </t>
        </is>
      </c>
    </row>
    <row r="27" ht="32" customHeight="1" s="44">
      <c r="A27" s="61" t="n">
        <v>46102</v>
      </c>
      <c r="B27" s="68" t="inlineStr">
        <is>
          <t>P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Al Salam Complex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1" t="inlineStr">
        <is>
          <t>P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Al Salam Complex</t>
        </is>
      </c>
      <c r="I28" s="34">
        <f>IFERROR(IF(SUM(C28:G28)&gt;24,"إجمالي &gt; 24 ساعة.",SUM(C28:G28)), "")</f>
        <v/>
      </c>
      <c r="J28" s="70" t="inlineStr">
        <is>
          <t>Weekend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Al Salam Complex</t>
        </is>
      </c>
      <c r="I29" s="28">
        <f>IFERROR(IF(SUM(C29:G29)&gt;24,"إجمالي &gt; 24 ساعة.",SUM(C29:G29)), "")</f>
        <v/>
      </c>
      <c r="J29" s="70" t="inlineStr">
        <is>
          <t xml:space="preserve">Cleaning work in villa 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Saqia 14 (Store) 4hrs + Adil Villa 4hrs</t>
        </is>
      </c>
      <c r="I30" s="34">
        <f>IFERROR(IF(SUM(C30:G30)&gt;24,"إجمالي &gt; 24 ساعة.",SUM(C30:G30)), "")</f>
        <v/>
      </c>
      <c r="J30" s="70" t="inlineStr">
        <is>
          <t xml:space="preserve">both site electricity work </t>
        </is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Al Salam Complex</t>
        </is>
      </c>
      <c r="I31" s="28">
        <f>IFERROR(IF(SUM(C31:G31)&gt;24,"إجمالي &gt; 24 ساعة.",SUM(C31:G31)), "")</f>
        <v/>
      </c>
      <c r="J31" s="70" t="inlineStr">
        <is>
          <t xml:space="preserve">Cleaning work in villa 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/>
      <c r="E32" s="74" t="n"/>
      <c r="F32" s="74" t="n"/>
      <c r="G32" s="29">
        <f>IF(B32="SL","SL","")</f>
        <v/>
      </c>
      <c r="H32" s="75" t="inlineStr">
        <is>
          <t>Al Salam Complex</t>
        </is>
      </c>
      <c r="I32" s="34">
        <f>IFERROR(IF(SUM(C32:G32)&gt;24,"إجمالي &gt; 24 ساعة.",SUM(C32:G32)), "")</f>
        <v/>
      </c>
      <c r="J32" s="70" t="inlineStr">
        <is>
          <t>Cleaning work in villa . also lock chang p20</t>
        </is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Al Salam Complex</t>
        </is>
      </c>
      <c r="I33" s="28">
        <f>IFERROR(IF(SUM(C33:G33)&gt;24,"إجمالي &gt; 24 ساعة.",SUM(C33:G33)), "")</f>
        <v/>
      </c>
      <c r="J33" s="70" t="inlineStr">
        <is>
          <t>Cleaning work in villa. also insulation work</t>
        </is>
      </c>
    </row>
    <row r="34" ht="32" customHeight="1" s="44">
      <c r="A34" s="62" t="n">
        <v>46109</v>
      </c>
      <c r="B34" s="76" t="inlineStr">
        <is>
          <t>P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Al Salam Complex</t>
        </is>
      </c>
      <c r="I34" s="34">
        <f>IFERROR(IF(SUM(C34:G34)&gt;24,"إجمالي &gt; 24 ساعة.",SUM(C34:G34)), "")</f>
        <v/>
      </c>
      <c r="J34" s="70" t="inlineStr">
        <is>
          <t xml:space="preserve">he changed water heater in 2 flat. 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Al Salam Complex</t>
        </is>
      </c>
      <c r="I35" s="28">
        <f>IFERROR(IF(SUM(C35:G35)&gt;24,"إجمالي &gt; 24 ساعة.",SUM(C35:G35)), "")</f>
        <v/>
      </c>
      <c r="J35" s="70" t="inlineStr">
        <is>
          <t>Weekend</t>
        </is>
      </c>
    </row>
    <row r="36" ht="32" customHeight="1" s="44">
      <c r="A36" s="62" t="n">
        <v>46111</v>
      </c>
      <c r="B36" s="76" t="inlineStr">
        <is>
          <t>P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Al Salam Complex</t>
        </is>
      </c>
      <c r="I36" s="34">
        <f>IFERROR(IF(SUM(C36:G36)&gt;24,"إجمالي &gt; 24 ساعة.",SUM(C36:G36)), "")</f>
        <v/>
      </c>
      <c r="J36" s="70" t="inlineStr">
        <is>
          <t xml:space="preserve">Cleaning work in villa </t>
        </is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/>
      <c r="E37" s="68" t="n"/>
      <c r="F37" s="68" t="n"/>
      <c r="G37" s="26" t="n"/>
      <c r="H37" s="69" t="inlineStr">
        <is>
          <t>Al Salam Complex</t>
        </is>
      </c>
      <c r="I37" s="28">
        <f>IFERROR(IF(SUM(C37:G37)&gt;24,"إجمالي &gt; 24 ساعة.",SUM(C37:G37)), "")</f>
        <v/>
      </c>
      <c r="J37" s="70" t="inlineStr">
        <is>
          <t>Cleaning work in villa . also  insulation work</t>
        </is>
      </c>
    </row>
    <row r="38" ht="30" customHeight="1" s="44">
      <c r="A38" s="54" t="inlineStr">
        <is>
          <t>إجمالي عدد الساعات :</t>
        </is>
      </c>
      <c r="B38" s="77" t="n"/>
      <c r="C38" s="78">
        <f>SUM(C7:C37) -  (COUNTIF(B7:B37, "AWO") * 8)</f>
        <v/>
      </c>
      <c r="D38" s="79">
        <f>IFERROR(SUM(D7:D37), "")</f>
        <v/>
      </c>
      <c r="E38" s="79">
        <f>IFERROR(SUM(E7:E37), "")</f>
        <v/>
      </c>
      <c r="F38" s="79">
        <f>IFERROR(SUM(F7:F37), "")</f>
        <v/>
      </c>
      <c r="G38" s="13" t="n"/>
      <c r="H38" s="80" t="n"/>
      <c r="I38" s="32" t="inlineStr">
        <is>
          <t>الملاحظات :</t>
        </is>
      </c>
      <c r="J38" s="81" t="n"/>
    </row>
    <row r="39" ht="30" customHeight="1" s="44">
      <c r="A39" s="54" t="inlineStr">
        <is>
          <t>إجمالي عدد ايام الدوام :</t>
        </is>
      </c>
      <c r="B39" s="77" t="n"/>
      <c r="C39" s="82">
        <f>COUNTIF(B7:B37, "P") + COUNTIF(B7:B37, "W") + COUNTIF(B7:B37, "H") + COUNTIF(B7:B37, "A") + COUNTIF(B7:B37, "AWO")-C40</f>
        <v/>
      </c>
      <c r="D39" s="82" t="n"/>
      <c r="E39" s="82" t="n"/>
      <c r="F39" s="82" t="n"/>
      <c r="G39" s="35" t="inlineStr">
        <is>
          <t>الاجازات المرضية</t>
        </is>
      </c>
      <c r="H39" s="83">
        <f>COUNTIF(B7:B37,"sl")</f>
        <v/>
      </c>
      <c r="I39" s="46">
        <f>COUNTIFS(G7:G37, "SL", G7:G37, "&lt;=3")</f>
        <v/>
      </c>
      <c r="J39" s="81" t="n"/>
    </row>
    <row r="40" ht="37.2" customHeight="1" s="44">
      <c r="A40" s="54" t="inlineStr">
        <is>
          <t>إجمالي عدد ايام الغياب :</t>
        </is>
      </c>
      <c r="B40" s="77" t="n"/>
      <c r="C40" s="82">
        <f>COUNTIF(B7:B37,"A")+COUNTIF(B7:B37,"AWO")*2</f>
        <v/>
      </c>
      <c r="D40" s="82" t="n"/>
      <c r="E40" s="82" t="n"/>
      <c r="F40" s="82" t="n"/>
      <c r="G40" s="33" t="inlineStr">
        <is>
          <t>قيمة الخصم الاضافي</t>
        </is>
      </c>
      <c r="H40" s="84" t="n">
        <v>0</v>
      </c>
      <c r="I40" s="47" t="n"/>
      <c r="J40" s="81" t="n"/>
    </row>
    <row r="41" ht="37.2" customHeight="1" s="44">
      <c r="A41" s="54" t="inlineStr">
        <is>
          <t>قيمة الخصم :</t>
        </is>
      </c>
      <c r="B41" s="77" t="n"/>
      <c r="C41" s="85">
        <f>COUNTIF(B7:B37,"AWO") * 2 * I3 +COUNTIF(B7:B37, "A") * I3</f>
        <v/>
      </c>
      <c r="D41" s="82" t="n"/>
      <c r="E41" s="82" t="n"/>
      <c r="F41" s="86" t="n"/>
      <c r="G41" s="35" t="inlineStr">
        <is>
          <t>مجموع الخصم :</t>
        </is>
      </c>
      <c r="H41" s="84">
        <f>SUM(C41+H40)</f>
        <v/>
      </c>
      <c r="I41" s="48" t="n"/>
      <c r="J41" s="81" t="n"/>
    </row>
    <row r="42" ht="37.2" customHeight="1" s="44">
      <c r="A42" s="54" t="inlineStr">
        <is>
          <t>إجمالي الأجر بعد الخصم :</t>
        </is>
      </c>
      <c r="B42" s="77" t="n"/>
      <c r="C42" s="87">
        <f>IF(F4&lt;&gt;"", I2/(DAY(EOMONTH(F2,0))*8)*C38, "")</f>
        <v/>
      </c>
      <c r="D42" s="87">
        <f>IFERROR(I2/(DAY(EOMONTH(F2,0))*8)*1.25*D38, "")</f>
        <v/>
      </c>
      <c r="E42" s="87">
        <f>IFERROR(I2/(DAY(EOMONTH(F2,0))*8)*1.5*E38, "")</f>
        <v/>
      </c>
      <c r="F42" s="87">
        <f>IFERROR(I2/(DAY(EOMONTH(F2,0))*8)*2.5*F38, "")</f>
        <v/>
      </c>
      <c r="G42" s="66" t="inlineStr">
        <is>
          <t>: الإجمالي</t>
        </is>
      </c>
      <c r="H42" s="77" t="n"/>
      <c r="I42" s="67">
        <f>IFERROR(SUM(C42:F42), "") - H40</f>
        <v/>
      </c>
      <c r="J42" s="81" t="n"/>
    </row>
    <row r="43" ht="34.2" customHeight="1" s="44">
      <c r="A43" s="17" t="inlineStr">
        <is>
          <t xml:space="preserve">التاريخ : </t>
        </is>
      </c>
      <c r="B43" s="88">
        <f>TODAY()</f>
        <v/>
      </c>
      <c r="C43" s="89" t="n"/>
      <c r="D43" s="90" t="inlineStr">
        <is>
          <t xml:space="preserve">توقيع الموظف : </t>
        </is>
      </c>
      <c r="E43" s="90" t="n"/>
      <c r="F43" s="90" t="n"/>
      <c r="G43" s="23" t="inlineStr">
        <is>
          <t xml:space="preserve">توقيع المدير : </t>
        </is>
      </c>
      <c r="H43" s="91" t="n"/>
      <c r="I43" s="18" t="n"/>
      <c r="J43" s="81" t="n"/>
    </row>
    <row r="44">
      <c r="A44" s="19" t="n"/>
      <c r="B44" s="92" t="n"/>
      <c r="C44" s="92" t="n"/>
      <c r="D44" s="92" t="n"/>
      <c r="E44" s="92" t="n"/>
      <c r="F44" s="92" t="n"/>
      <c r="G44" s="19" t="n"/>
      <c r="H44" s="92" t="n"/>
      <c r="I44" s="19" t="n"/>
      <c r="J44" s="81" t="n"/>
    </row>
    <row r="45">
      <c r="A45" s="19" t="n"/>
      <c r="B45" s="92" t="n"/>
      <c r="C45" s="92" t="n"/>
      <c r="D45" s="92" t="n"/>
      <c r="E45" s="92" t="n"/>
      <c r="F45" s="92" t="n"/>
      <c r="G45" s="19" t="n"/>
      <c r="H45" s="92" t="n"/>
      <c r="I45" s="19" t="n"/>
      <c r="J45" s="81" t="n"/>
    </row>
    <row r="46">
      <c r="B46" s="81" t="n"/>
      <c r="C46" s="81" t="n"/>
      <c r="D46" s="81" t="n"/>
      <c r="E46" s="81" t="n"/>
      <c r="F46" s="81" t="n"/>
      <c r="H46" s="81" t="n"/>
      <c r="J46" s="81" t="n"/>
    </row>
    <row r="47">
      <c r="B47" s="81" t="n"/>
      <c r="C47" s="81" t="n"/>
      <c r="D47" s="81" t="n"/>
      <c r="E47" s="81" t="n"/>
      <c r="F47" s="81" t="n"/>
      <c r="H47" s="81" t="n"/>
      <c r="J47" s="81" t="n"/>
    </row>
    <row r="48">
      <c r="B48" s="81" t="n"/>
      <c r="C48" s="81" t="n"/>
      <c r="D48" s="81" t="n"/>
      <c r="E48" s="81" t="n"/>
      <c r="F48" s="81" t="n"/>
      <c r="H48" s="81" t="n"/>
      <c r="J48" s="81" t="n"/>
    </row>
    <row r="49">
      <c r="B49" s="81" t="n"/>
      <c r="C49" s="81" t="n"/>
      <c r="D49" s="81" t="n"/>
      <c r="E49" s="81" t="n"/>
      <c r="F49" s="81" t="n"/>
      <c r="H49" s="81" t="n"/>
      <c r="J49" s="81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نداء الله محمد ايوب خان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Home`s Mr.Abdullah</t>
        </is>
      </c>
      <c r="I7" s="28">
        <f>IFERROR(IF(SUM(C7:G7)&gt;24,"إجمالي &gt; 24 ساعة.",SUM(C7:G7)), "")</f>
        <v/>
      </c>
      <c r="J7" s="70" t="inlineStr">
        <is>
          <t>Weekend</t>
        </is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Masjid Al Karama</t>
        </is>
      </c>
      <c r="I8" s="34">
        <f>IFERROR(IF(SUM(C8:G8)&gt;24,"إجمالي &gt; 24 ساعة.",SUM(C8:G8)), "")</f>
        <v/>
      </c>
      <c r="J8" s="70" t="inlineStr">
        <is>
          <t xml:space="preserve">he changed lights with bilal in Masjid </t>
        </is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Masjid Al Karama</t>
        </is>
      </c>
      <c r="I9" s="28">
        <f>IFERROR(IF(SUM(C9:G9)&gt;24,"إجمالي &gt; 24 ساعة.",SUM(C9:G9)), "")</f>
        <v/>
      </c>
      <c r="J9" s="70" t="inlineStr">
        <is>
          <t xml:space="preserve">he fix light in bathroom areas </t>
        </is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Al Saada Complex</t>
        </is>
      </c>
      <c r="I10" s="34">
        <f>IFERROR(IF(SUM(C10:G10)&gt;24,"إجمالي &gt; 24 ساعة.",SUM(C10:G10)), "")</f>
        <v/>
      </c>
      <c r="J10" s="70" t="inlineStr">
        <is>
          <t>painting work in c2 flat</t>
        </is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>
        <v>1</v>
      </c>
      <c r="E11" s="68" t="n"/>
      <c r="F11" s="68" t="n"/>
      <c r="G11" s="26">
        <f>IF(B11="SL","SL","")</f>
        <v/>
      </c>
      <c r="H11" s="69" t="inlineStr">
        <is>
          <t>Al Saada Complex</t>
        </is>
      </c>
      <c r="I11" s="28">
        <f>IFERROR(IF(SUM(C11:G11)&gt;24,"إجمالي &gt; 24 ساعة.",SUM(C11:G11)), "")</f>
        <v/>
      </c>
      <c r="J11" s="70" t="inlineStr">
        <is>
          <t xml:space="preserve">painting and Ac work. </t>
        </is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Home`s Mr.Abdullah</t>
        </is>
      </c>
      <c r="I12" s="34">
        <f>IFERROR(IF(SUM(C12:G12)&gt;24,"إجمالي &gt; 24 ساعة.",SUM(C12:G12)), "")</f>
        <v/>
      </c>
      <c r="J12" s="70" t="inlineStr">
        <is>
          <t xml:space="preserve">he fix Ac with hafiz in Alsaada compound </t>
        </is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Home`s Mr.Abdullah</t>
        </is>
      </c>
      <c r="I13" s="28">
        <f>IFERROR(IF(SUM(C13:G13)&gt;24,"إجمالي &gt; 24 ساعة.",SUM(C13:G13)), "")</f>
        <v/>
      </c>
      <c r="J13" s="70" t="inlineStr">
        <is>
          <t>Ac worke also  washing machine fix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>
        <v>2</v>
      </c>
      <c r="E14" s="74" t="n"/>
      <c r="F14" s="74" t="n"/>
      <c r="G14" s="29">
        <f>IF(B14="SL","SL","")</f>
        <v/>
      </c>
      <c r="H14" s="75" t="inlineStr">
        <is>
          <t>Al Karama Complex</t>
        </is>
      </c>
      <c r="I14" s="34">
        <f>IFERROR(IF(SUM(C14:G14)&gt;24,"إجمالي &gt; 24 ساعة.",SUM(C14:G14)), "")</f>
        <v/>
      </c>
      <c r="J14" s="70" t="inlineStr">
        <is>
          <t>Weekend. Ac work in karama 2</t>
        </is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Al Saada Complex</t>
        </is>
      </c>
      <c r="I15" s="28">
        <f>IFERROR(IF(SUM(C15:G15)&gt;24,"إجمالي &gt; 24 ساعة.",SUM(C15:G15)), "")</f>
        <v/>
      </c>
      <c r="J15" s="70" t="inlineStr">
        <is>
          <t xml:space="preserve">Cleaning work in villa </t>
        </is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Farm 826</t>
        </is>
      </c>
      <c r="I16" s="34">
        <f>IFERROR(IF(SUM(C16:G16)&gt;24,"إجمالي &gt; 24 ساعة.",SUM(C16:G16)), "")</f>
        <v/>
      </c>
      <c r="J16" s="70" t="inlineStr">
        <is>
          <t>Ac work in farm area</t>
        </is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>
        <v>2</v>
      </c>
      <c r="E17" s="68" t="n"/>
      <c r="F17" s="68" t="n"/>
      <c r="G17" s="26">
        <f>IF(B17="SL","SL","")</f>
        <v/>
      </c>
      <c r="H17" s="69" t="inlineStr">
        <is>
          <t>Al Saada Complex</t>
        </is>
      </c>
      <c r="I17" s="28">
        <f>IFERROR(IF(SUM(C17:G17)&gt;24,"إجمالي &gt; 24 ساعة.",SUM(C17:G17)), "")</f>
        <v/>
      </c>
      <c r="J17" s="70" t="inlineStr">
        <is>
          <t>Cleaning work in villa also in Baba home drainage work</t>
        </is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Home`s Mr.Abdullah</t>
        </is>
      </c>
      <c r="I18" s="34">
        <f>IFERROR(IF(SUM(C18:G18)&gt;24,"إجمالي &gt; 24 ساعة.",SUM(C18:G18)), "")</f>
        <v/>
      </c>
      <c r="J18" s="70" t="inlineStr">
        <is>
          <t xml:space="preserve">Cleaning work in villa </t>
        </is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Home`s Mr.Abdullah</t>
        </is>
      </c>
      <c r="I19" s="28">
        <f>IFERROR(IF(SUM(C19:G19)&gt;24,"إجمالي &gt; 24 ساعة.",SUM(C19:G19)), "")</f>
        <v/>
      </c>
      <c r="J19" s="70" t="inlineStr">
        <is>
          <t xml:space="preserve">Cleaning work in villa </t>
        </is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>
        <v>1</v>
      </c>
      <c r="E20" s="74" t="n"/>
      <c r="F20" s="74" t="n"/>
      <c r="G20" s="29">
        <f>IF(B20="SL","SL","")</f>
        <v/>
      </c>
      <c r="H20" s="75" t="inlineStr">
        <is>
          <t>Home`s Mr.Abdullah</t>
        </is>
      </c>
      <c r="I20" s="34">
        <f>IFERROR(IF(SUM(C20:G20)&gt;24,"إجمالي &gt; 24 ساعة.",SUM(C20:G20)), "")</f>
        <v/>
      </c>
      <c r="J20" s="70" t="inlineStr">
        <is>
          <t xml:space="preserve">Cleaning work in villa 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>
        <v>2</v>
      </c>
      <c r="E21" s="68" t="n"/>
      <c r="F21" s="68" t="n"/>
      <c r="G21" s="26">
        <f>IF(B21="SL","SL","")</f>
        <v/>
      </c>
      <c r="H21" s="69" t="inlineStr">
        <is>
          <t>Al Shahama complex</t>
        </is>
      </c>
      <c r="I21" s="28">
        <f>IFERROR(IF(SUM(C21:G21)&gt;24,"إجمالي &gt; 24 ساعة.",SUM(C21:G21)), "")</f>
        <v/>
      </c>
      <c r="J21" s="70" t="inlineStr">
        <is>
          <t>Weekend</t>
        </is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Al Shahama complex</t>
        </is>
      </c>
      <c r="I22" s="34">
        <f>IFERROR(IF(SUM(C21:G21)&gt;24,"إجمالي &gt; 24 ساعة.",SUM(C21:G21)), "")</f>
        <v/>
      </c>
      <c r="J22" s="70" t="inlineStr">
        <is>
          <t xml:space="preserve">Cleaning work in villa also flat 3 lights change </t>
        </is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Al Shahama complex</t>
        </is>
      </c>
      <c r="I23" s="28">
        <f>IFERROR(IF(SUM(C23:G23)&gt;24,"إجمالي &gt; 24 ساعة.",SUM(C23:G23)), "")</f>
        <v/>
      </c>
      <c r="J23" s="70" t="inlineStr">
        <is>
          <t xml:space="preserve">Cleaning work in villa 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Al Shahama complex</t>
        </is>
      </c>
      <c r="I24" s="34">
        <f>IFERROR(IF(SUM(C24:G24)&gt;24,"إجمالي &gt; 24 ساعة.",SUM(C24:G24)), "")</f>
        <v/>
      </c>
      <c r="J24" s="70" t="inlineStr">
        <is>
          <t xml:space="preserve">Cleaning work in villa </t>
        </is>
      </c>
    </row>
    <row r="25" ht="32" customHeight="1" s="44">
      <c r="A25" s="61" t="n">
        <v>46100</v>
      </c>
      <c r="B25" s="68" t="inlineStr">
        <is>
          <t>P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Farm 826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1" t="inlineStr">
        <is>
          <t>P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Al Shahama complex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68" t="inlineStr">
        <is>
          <t>P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Farm 826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1" t="inlineStr">
        <is>
          <t>P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Al Shahama complex</t>
        </is>
      </c>
      <c r="I28" s="34">
        <f>IFERROR(IF(SUM(C28:G28)&gt;24,"إجمالي &gt; 24 ساعة.",SUM(C28:G28)), "")</f>
        <v/>
      </c>
      <c r="J28" s="70" t="inlineStr">
        <is>
          <t>Weekend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Al Shahama complex</t>
        </is>
      </c>
      <c r="I29" s="28">
        <f>IFERROR(IF(SUM(C29:G29)&gt;24,"إجمالي &gt; 24 ساعة.",SUM(C29:G29)), "")</f>
        <v/>
      </c>
      <c r="J29" s="70" t="inlineStr">
        <is>
          <t xml:space="preserve">Cleaning work in villa . also drain open 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Al Shahama complex</t>
        </is>
      </c>
      <c r="I30" s="34">
        <f>IFERROR(IF(SUM(C30:G30)&gt;24,"إجمالي &gt; 24 ساعة.",SUM(C30:G30)), "")</f>
        <v/>
      </c>
      <c r="J30" s="70" t="inlineStr">
        <is>
          <t xml:space="preserve">Cleaning work in villa </t>
        </is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>
        <v>1</v>
      </c>
      <c r="E31" s="68" t="n"/>
      <c r="F31" s="68" t="n"/>
      <c r="G31" s="26">
        <f>IF(B31="SL","SL","")</f>
        <v/>
      </c>
      <c r="H31" s="69" t="inlineStr">
        <is>
          <t>Al Shahama complex</t>
        </is>
      </c>
      <c r="I31" s="28">
        <f>IFERROR(IF(SUM(C31:G31)&gt;24,"إجمالي &gt; 24 ساعة.",SUM(C31:G31)), "")</f>
        <v/>
      </c>
      <c r="J31" s="70" t="inlineStr">
        <is>
          <t xml:space="preserve">Cleaning work in villa . 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Al Shahama complex</t>
        </is>
      </c>
      <c r="I32" s="34">
        <f>IFERROR(IF(SUM(C32:G32)&gt;24,"إجمالي &gt; 24 ساعة.",SUM(C32:G32)), "")</f>
        <v/>
      </c>
      <c r="J32" s="70" t="inlineStr">
        <is>
          <t xml:space="preserve">Cleaning work in villa </t>
        </is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Al Shahama complex</t>
        </is>
      </c>
      <c r="I33" s="28">
        <f>IFERROR(IF(SUM(C33:G33)&gt;24,"إجمالي &gt; 24 ساعة.",SUM(C33:G33)), "")</f>
        <v/>
      </c>
      <c r="J33" s="70" t="inlineStr">
        <is>
          <t xml:space="preserve">Cleaning work in villa . drange pump cleaning </t>
        </is>
      </c>
    </row>
    <row r="34" ht="32" customHeight="1" s="44">
      <c r="A34" s="62" t="n">
        <v>46109</v>
      </c>
      <c r="B34" s="76" t="inlineStr">
        <is>
          <t>P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Al Shahama complex</t>
        </is>
      </c>
      <c r="I34" s="34">
        <f>IFERROR(IF(SUM(C34:G34)&gt;24,"إجمالي &gt; 24 ساعة.",SUM(C34:G34)), "")</f>
        <v/>
      </c>
      <c r="J34" s="70" t="inlineStr">
        <is>
          <t xml:space="preserve">he cleaning work also drain pump ⛽ cleaning 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Farm 826</t>
        </is>
      </c>
      <c r="I35" s="28">
        <f>IFERROR(IF(SUM(C35:G35)&gt;24,"إجمالي &gt; 24 ساعة.",SUM(C35:G35)), "")</f>
        <v/>
      </c>
      <c r="J35" s="70" t="inlineStr">
        <is>
          <t>Weekend</t>
        </is>
      </c>
    </row>
    <row r="36" ht="32" customHeight="1" s="44">
      <c r="A36" s="62" t="n">
        <v>46111</v>
      </c>
      <c r="B36" s="76" t="inlineStr">
        <is>
          <t>P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Al Shahama complex</t>
        </is>
      </c>
      <c r="I36" s="34">
        <f>IFERROR(IF(SUM(C36:G36)&gt;24,"إجمالي &gt; 24 ساعة.",SUM(C36:G36)), "")</f>
        <v/>
      </c>
      <c r="J36" s="70" t="inlineStr">
        <is>
          <t xml:space="preserve">Cleaning work in villa </t>
        </is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/>
      <c r="E37" s="68" t="n"/>
      <c r="F37" s="68" t="n"/>
      <c r="G37" s="26" t="n"/>
      <c r="H37" s="69" t="inlineStr">
        <is>
          <t>Al Shahama complex</t>
        </is>
      </c>
      <c r="I37" s="28">
        <f>IFERROR(IF(SUM(C37:G37)&gt;24,"إجمالي &gt; 24 ساعة.",SUM(C37:G37)), "")</f>
        <v/>
      </c>
      <c r="J37" s="70" t="inlineStr">
        <is>
          <t>drainage pump  tank cleane</t>
        </is>
      </c>
    </row>
    <row r="38" ht="30" customHeight="1" s="44">
      <c r="A38" s="54" t="inlineStr">
        <is>
          <t>إجمالي عدد الساعات :</t>
        </is>
      </c>
      <c r="B38" s="77" t="n"/>
      <c r="C38" s="78">
        <f>SUM(C7:C37) -  (COUNTIF(B7:B37, "AWO") * 8)</f>
        <v/>
      </c>
      <c r="D38" s="79">
        <f>IFERROR(SUM(D7:D37), "")</f>
        <v/>
      </c>
      <c r="E38" s="79">
        <f>IFERROR(SUM(E7:E37), "")</f>
        <v/>
      </c>
      <c r="F38" s="79">
        <f>IFERROR(SUM(F7:F37), "")</f>
        <v/>
      </c>
      <c r="G38" s="13" t="n"/>
      <c r="H38" s="80" t="n"/>
      <c r="I38" s="32" t="inlineStr">
        <is>
          <t>الملاحظات :</t>
        </is>
      </c>
      <c r="J38" s="81" t="n"/>
    </row>
    <row r="39" ht="30" customHeight="1" s="44">
      <c r="A39" s="54" t="inlineStr">
        <is>
          <t>إجمالي عدد ايام الدوام :</t>
        </is>
      </c>
      <c r="B39" s="77" t="n"/>
      <c r="C39" s="82">
        <f>COUNTIF(B7:B37, "P") + COUNTIF(B7:B37, "W") + COUNTIF(B7:B37, "H") + COUNTIF(B7:B37, "A") + COUNTIF(B7:B37, "AWO")-C40</f>
        <v/>
      </c>
      <c r="D39" s="82" t="n"/>
      <c r="E39" s="82" t="n"/>
      <c r="F39" s="82" t="n"/>
      <c r="G39" s="35" t="inlineStr">
        <is>
          <t>الاجازات المرضية</t>
        </is>
      </c>
      <c r="H39" s="83">
        <f>COUNTIF(B7:B37,"sl")</f>
        <v/>
      </c>
      <c r="I39" s="46">
        <f>COUNTIFS(G7:G37, "SL", G7:G37, "&lt;=3")</f>
        <v/>
      </c>
      <c r="J39" s="81" t="n"/>
    </row>
    <row r="40" ht="37.2" customHeight="1" s="44">
      <c r="A40" s="54" t="inlineStr">
        <is>
          <t>إجمالي عدد ايام الغياب :</t>
        </is>
      </c>
      <c r="B40" s="77" t="n"/>
      <c r="C40" s="82">
        <f>COUNTIF(B7:B37,"A")+COUNTIF(B7:B37,"AWO")*2</f>
        <v/>
      </c>
      <c r="D40" s="82" t="n"/>
      <c r="E40" s="82" t="n"/>
      <c r="F40" s="82" t="n"/>
      <c r="G40" s="33" t="inlineStr">
        <is>
          <t>قيمة الخصم الاضافي</t>
        </is>
      </c>
      <c r="H40" s="84" t="n">
        <v>0</v>
      </c>
      <c r="I40" s="47" t="n"/>
      <c r="J40" s="81" t="n"/>
    </row>
    <row r="41" ht="37.2" customHeight="1" s="44">
      <c r="A41" s="54" t="inlineStr">
        <is>
          <t>قيمة الخصم :</t>
        </is>
      </c>
      <c r="B41" s="77" t="n"/>
      <c r="C41" s="85">
        <f>COUNTIF(B7:B37,"AWO") * 2 * I3 +COUNTIF(B7:B37, "A") * I3</f>
        <v/>
      </c>
      <c r="D41" s="82" t="n"/>
      <c r="E41" s="82" t="n"/>
      <c r="F41" s="86" t="n"/>
      <c r="G41" s="35" t="inlineStr">
        <is>
          <t>مجموع الخصم :</t>
        </is>
      </c>
      <c r="H41" s="84">
        <f>SUM(C41+H40)</f>
        <v/>
      </c>
      <c r="I41" s="48" t="n"/>
      <c r="J41" s="81" t="n"/>
    </row>
    <row r="42" ht="37.2" customHeight="1" s="44">
      <c r="A42" s="54" t="inlineStr">
        <is>
          <t>إجمالي الأجر بعد الخصم :</t>
        </is>
      </c>
      <c r="B42" s="77" t="n"/>
      <c r="C42" s="87">
        <f>IF(F4&lt;&gt;"", I2/(DAY(EOMONTH(F2,0))*8)*C38, "")</f>
        <v/>
      </c>
      <c r="D42" s="87">
        <f>IFERROR(I2/(DAY(EOMONTH(F2,0))*8)*1.25*D38, "")</f>
        <v/>
      </c>
      <c r="E42" s="87">
        <f>IFERROR(I2/(DAY(EOMONTH(F2,0))*8)*1.5*E38, "")</f>
        <v/>
      </c>
      <c r="F42" s="87">
        <f>IFERROR(I2/(DAY(EOMONTH(F2,0))*8)*2.5*F38, "")</f>
        <v/>
      </c>
      <c r="G42" s="66" t="inlineStr">
        <is>
          <t>: الإجمالي</t>
        </is>
      </c>
      <c r="H42" s="77" t="n"/>
      <c r="I42" s="67">
        <f>IFERROR(SUM(C42:F42), "") - H40</f>
        <v/>
      </c>
      <c r="J42" s="81" t="n"/>
    </row>
    <row r="43" ht="34.2" customHeight="1" s="44">
      <c r="A43" s="17" t="inlineStr">
        <is>
          <t xml:space="preserve">التاريخ : </t>
        </is>
      </c>
      <c r="B43" s="88">
        <f>TODAY()</f>
        <v/>
      </c>
      <c r="C43" s="89" t="n"/>
      <c r="D43" s="90" t="inlineStr">
        <is>
          <t xml:space="preserve">توقيع الموظف : </t>
        </is>
      </c>
      <c r="E43" s="90" t="n"/>
      <c r="F43" s="90" t="n"/>
      <c r="G43" s="23" t="inlineStr">
        <is>
          <t xml:space="preserve">توقيع المدير : </t>
        </is>
      </c>
      <c r="H43" s="91" t="n"/>
      <c r="I43" s="18" t="n"/>
      <c r="J43" s="81" t="n"/>
    </row>
    <row r="44">
      <c r="A44" s="19" t="n"/>
      <c r="B44" s="92" t="n"/>
      <c r="C44" s="92" t="n"/>
      <c r="D44" s="92" t="n"/>
      <c r="E44" s="92" t="n"/>
      <c r="F44" s="92" t="n"/>
      <c r="G44" s="19" t="n"/>
      <c r="H44" s="92" t="n"/>
      <c r="I44" s="19" t="n"/>
      <c r="J44" s="81" t="n"/>
    </row>
    <row r="45">
      <c r="A45" s="19" t="n"/>
      <c r="B45" s="92" t="n"/>
      <c r="C45" s="92" t="n"/>
      <c r="D45" s="92" t="n"/>
      <c r="E45" s="92" t="n"/>
      <c r="F45" s="92" t="n"/>
      <c r="G45" s="19" t="n"/>
      <c r="H45" s="92" t="n"/>
      <c r="I45" s="19" t="n"/>
      <c r="J45" s="81" t="n"/>
    </row>
    <row r="46">
      <c r="B46" s="81" t="n"/>
      <c r="C46" s="81" t="n"/>
      <c r="D46" s="81" t="n"/>
      <c r="E46" s="81" t="n"/>
      <c r="F46" s="81" t="n"/>
      <c r="H46" s="81" t="n"/>
      <c r="J46" s="81" t="n"/>
    </row>
    <row r="47">
      <c r="B47" s="81" t="n"/>
      <c r="C47" s="81" t="n"/>
      <c r="D47" s="81" t="n"/>
      <c r="E47" s="81" t="n"/>
      <c r="F47" s="81" t="n"/>
      <c r="H47" s="81" t="n"/>
      <c r="J47" s="81" t="n"/>
    </row>
    <row r="48">
      <c r="B48" s="81" t="n"/>
      <c r="C48" s="81" t="n"/>
      <c r="D48" s="81" t="n"/>
      <c r="E48" s="81" t="n"/>
      <c r="F48" s="81" t="n"/>
      <c r="H48" s="81" t="n"/>
      <c r="J48" s="81" t="n"/>
    </row>
    <row r="49">
      <c r="B49" s="81" t="n"/>
      <c r="C49" s="81" t="n"/>
      <c r="D49" s="81" t="n"/>
      <c r="E49" s="81" t="n"/>
      <c r="F49" s="81" t="n"/>
      <c r="H49" s="81" t="n"/>
      <c r="J49" s="81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1500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بلال خان سعيد رحمن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Al Karama Complex</t>
        </is>
      </c>
      <c r="I7" s="28">
        <f>IFERROR(IF(SUM(C7:G7)&gt;24,"إجمالي &gt; 24 ساعة.",SUM(C7:G7)), "")</f>
        <v/>
      </c>
      <c r="J7" s="70" t="inlineStr">
        <is>
          <t>Weekend</t>
        </is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Masjid Al Karama</t>
        </is>
      </c>
      <c r="I8" s="34">
        <f>IFERROR(IF(SUM(C8:G8)&gt;24,"إجمالي &gt; 24 ساعة.",SUM(C8:G8)), "")</f>
        <v/>
      </c>
      <c r="J8" s="70" t="inlineStr">
        <is>
          <t xml:space="preserve">he changed lights in Masjid Alkarama </t>
        </is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Masjid Al Karama</t>
        </is>
      </c>
      <c r="I9" s="28">
        <f>IFERROR(IF(SUM(C9:G9)&gt;24,"إجمالي &gt; 24 ساعة.",SUM(C9:G9)), "")</f>
        <v/>
      </c>
      <c r="J9" s="70" t="inlineStr">
        <is>
          <t xml:space="preserve">he fixed Ciramic in ablution area. </t>
        </is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Saqia 20</t>
        </is>
      </c>
      <c r="I10" s="34">
        <f>IFERROR(IF(SUM(C10:G10)&gt;24,"إجمالي &gt; 24 ساعة.",SUM(C10:G10)), "")</f>
        <v/>
      </c>
      <c r="J10" s="70" t="inlineStr">
        <is>
          <t xml:space="preserve">he repair water tank </t>
        </is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>
        <v>2</v>
      </c>
      <c r="E11" s="68" t="n"/>
      <c r="F11" s="68" t="n"/>
      <c r="G11" s="26">
        <f>IF(B11="SL","SL","")</f>
        <v/>
      </c>
      <c r="H11" s="69" t="inlineStr">
        <is>
          <t>Home`s Mr.Abdullah</t>
        </is>
      </c>
      <c r="I11" s="28">
        <f>IFERROR(IF(SUM(C11:G11)&gt;24,"إجمالي &gt; 24 ساعة.",SUM(C11:G11)), "")</f>
        <v/>
      </c>
      <c r="J11" s="70" t="inlineStr">
        <is>
          <t>Ac work. in 132 villa . also fridge transfer in arbab home</t>
        </is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Home`s Mr.Abdullah</t>
        </is>
      </c>
      <c r="I12" s="34">
        <f>IFERROR(IF(SUM(C12:G12)&gt;24,"إجمالي &gt; 24 ساعة.",SUM(C12:G12)), "")</f>
        <v/>
      </c>
      <c r="J12" s="70" t="inlineStr">
        <is>
          <t>he make Ac also shifts Ac in alsaada</t>
        </is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Home`s Mr.Abdullah</t>
        </is>
      </c>
      <c r="I13" s="28">
        <f>IFERROR(IF(SUM(C13:G13)&gt;24,"إجمالي &gt; 24 ساعة.",SUM(C13:G13)), "")</f>
        <v/>
      </c>
      <c r="J13" s="70" t="inlineStr">
        <is>
          <t>Ac work also washing machine work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>
        <v>3</v>
      </c>
      <c r="E14" s="74" t="n"/>
      <c r="F14" s="74" t="n"/>
      <c r="G14" s="29">
        <f>IF(B14="SL","SL","")</f>
        <v/>
      </c>
      <c r="H14" s="75" t="inlineStr">
        <is>
          <t>Al Karama Complex</t>
        </is>
      </c>
      <c r="I14" s="34">
        <f>IFERROR(IF(SUM(C14:G14)&gt;24,"إجمالي &gt; 24 ساعة.",SUM(C14:G14)), "")</f>
        <v/>
      </c>
      <c r="J14" s="70" t="inlineStr">
        <is>
          <t>Weekend. alkarama 2ac work</t>
        </is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Home`s Mr.Abdullah</t>
        </is>
      </c>
      <c r="I15" s="28">
        <f>IFERROR(IF(SUM(C15:G15)&gt;24,"إجمالي &gt; 24 ساعة.",SUM(C15:G15)), "")</f>
        <v/>
      </c>
      <c r="J15" s="70" t="inlineStr">
        <is>
          <t xml:space="preserve">ac work in 132 also 130 villa . he fixed Ac compressor </t>
        </is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Al Karama Complex</t>
        </is>
      </c>
      <c r="I16" s="34">
        <f>IFERROR(IF(SUM(C16:G16)&gt;24,"إجمالي &gt; 24 ساعة.",SUM(C16:G16)), "")</f>
        <v/>
      </c>
      <c r="J16" s="70" t="inlineStr">
        <is>
          <t xml:space="preserve">in Baba home he open dran for kitchen </t>
        </is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>
        <v>2</v>
      </c>
      <c r="E17" s="68" t="n"/>
      <c r="F17" s="68" t="n"/>
      <c r="G17" s="26">
        <f>IF(B17="SL","SL","")</f>
        <v/>
      </c>
      <c r="H17" s="69" t="inlineStr">
        <is>
          <t>Home`s Mr.Abdullah</t>
        </is>
      </c>
      <c r="I17" s="28">
        <f>IFERROR(IF(SUM(C17:G17)&gt;24,"إجمالي &gt; 24 ساعة.",SUM(C17:G17)), "")</f>
        <v/>
      </c>
      <c r="J17" s="70" t="inlineStr">
        <is>
          <t>painting work in 130 villa. in Baba home drainage work</t>
        </is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Home`s Mr.Abdullah</t>
        </is>
      </c>
      <c r="I18" s="34">
        <f>IFERROR(IF(SUM(C18:G18)&gt;24,"إجمالي &gt; 24 ساعة.",SUM(C18:G18)), "")</f>
        <v/>
      </c>
      <c r="J18" s="70" t="inlineStr">
        <is>
          <t xml:space="preserve">painting  and lighting work </t>
        </is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Al Karama Complex</t>
        </is>
      </c>
      <c r="I19" s="28">
        <f>IFERROR(IF(SUM(C19:G19)&gt;24,"إجمالي &gt; 24 ساعة.",SUM(C19:G19)), "")</f>
        <v/>
      </c>
      <c r="J19" s="70" t="inlineStr">
        <is>
          <t xml:space="preserve">painting  and lighting work </t>
        </is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Home`s Mr.Abdullah</t>
        </is>
      </c>
      <c r="I20" s="34">
        <f>IFERROR(IF(SUM(C20:G20)&gt;24,"إجمالي &gt; 24 ساعة.",SUM(C20:G20)), "")</f>
        <v/>
      </c>
      <c r="J20" s="70" t="inlineStr">
        <is>
          <t xml:space="preserve">painting  and lighting work 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>
        <v>3</v>
      </c>
      <c r="E21" s="68" t="n"/>
      <c r="F21" s="68" t="n"/>
      <c r="G21" s="26">
        <f>IF(B21="SL","SL","")</f>
        <v/>
      </c>
      <c r="H21" s="69" t="inlineStr">
        <is>
          <t>Al Karama Complex</t>
        </is>
      </c>
      <c r="I21" s="28">
        <f>IFERROR(IF(SUM(C21:G21)&gt;24,"إجمالي &gt; 24 ساعة.",SUM(C21:G21)), "")</f>
        <v/>
      </c>
      <c r="J21" s="70" t="inlineStr">
        <is>
          <t>Weekend. villa 2 Ac worke</t>
        </is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Al Karama Complex</t>
        </is>
      </c>
      <c r="I22" s="34">
        <f>IFERROR(IF(SUM(C21:G21)&gt;24,"إجمالي &gt; 24 ساعة.",SUM(C21:G21)), "")</f>
        <v/>
      </c>
      <c r="J22" s="70" t="inlineStr">
        <is>
          <t xml:space="preserve">he. repair water pump </t>
        </is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Al Karama Complex</t>
        </is>
      </c>
      <c r="I23" s="28">
        <f>IFERROR(IF(SUM(C23:G23)&gt;24,"إجمالي &gt; 24 ساعة.",SUM(C23:G23)), "")</f>
        <v/>
      </c>
      <c r="J23" s="70" t="inlineStr">
        <is>
          <t>he work Ac in 130 villa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>
        <v>2</v>
      </c>
      <c r="E24" s="74" t="n"/>
      <c r="F24" s="74" t="n"/>
      <c r="G24" s="29">
        <f>IF(B24="SL","SL","")</f>
        <v/>
      </c>
      <c r="H24" s="75" t="inlineStr">
        <is>
          <t>Al Karama Complex 4hrs + Home`s Mr.Abdullah 4hrs</t>
        </is>
      </c>
      <c r="I24" s="34">
        <f>IFERROR(IF(SUM(C24:G24)&gt;24,"إجمالي &gt; 24 ساعة.",SUM(C24:G24)), "")</f>
        <v/>
      </c>
      <c r="J24" s="70" t="inlineStr">
        <is>
          <t>he fixed light in 130 villa. k2 Ac work. k4 light work</t>
        </is>
      </c>
    </row>
    <row r="25" ht="32" customHeight="1" s="44">
      <c r="A25" s="61" t="n">
        <v>46100</v>
      </c>
      <c r="B25" s="68" t="inlineStr">
        <is>
          <t>P</t>
        </is>
      </c>
      <c r="C25" s="68" t="n">
        <v>8</v>
      </c>
      <c r="D25" s="68" t="n">
        <v>1</v>
      </c>
      <c r="E25" s="68" t="n"/>
      <c r="F25" s="68" t="n"/>
      <c r="G25" s="26">
        <f>IF(B25="SL","SL","")</f>
        <v/>
      </c>
      <c r="H25" s="69" t="inlineStr">
        <is>
          <t>Al Karama Complex</t>
        </is>
      </c>
      <c r="I25" s="28">
        <f>IFERROR(IF(SUM(C25:G25)&gt;24,"إجمالي &gt; 24 ساعة.",SUM(C25:G25)), "")</f>
        <v/>
      </c>
      <c r="J25" s="70" t="inlineStr">
        <is>
          <t>Holiday also Ac work</t>
        </is>
      </c>
    </row>
    <row r="26" ht="32" customHeight="1" s="44">
      <c r="A26" s="62" t="n">
        <v>46101</v>
      </c>
      <c r="B26" s="71" t="inlineStr">
        <is>
          <t>P</t>
        </is>
      </c>
      <c r="C26" s="72" t="n">
        <v>8</v>
      </c>
      <c r="D26" s="71" t="n">
        <v>3</v>
      </c>
      <c r="E26" s="74" t="n"/>
      <c r="F26" s="74" t="n"/>
      <c r="G26" s="29">
        <f>IF(B26="SL","SL","")</f>
        <v/>
      </c>
      <c r="H26" s="75" t="inlineStr">
        <is>
          <t>Al Saada Complex</t>
        </is>
      </c>
      <c r="I26" s="34">
        <f>IFERROR(IF(SUM(C26:G26)&gt;24,"إجمالي &gt; 24 ساعة.",SUM(C26:G26)), "")</f>
        <v/>
      </c>
      <c r="J26" s="70" t="inlineStr">
        <is>
          <t xml:space="preserve">Holiday . also a villa in Alsaada compound water tank leaking </t>
        </is>
      </c>
    </row>
    <row r="27" ht="32" customHeight="1" s="44">
      <c r="A27" s="61" t="n">
        <v>46102</v>
      </c>
      <c r="B27" s="68" t="inlineStr">
        <is>
          <t>P</t>
        </is>
      </c>
      <c r="C27" s="68" t="n">
        <v>8</v>
      </c>
      <c r="D27" s="68" t="n">
        <v>1</v>
      </c>
      <c r="E27" s="68" t="n"/>
      <c r="F27" s="68" t="n"/>
      <c r="G27" s="26">
        <f>IF(B27="SL","SL","")</f>
        <v/>
      </c>
      <c r="H27" s="69" t="inlineStr">
        <is>
          <t>Al Karama Complex</t>
        </is>
      </c>
      <c r="I27" s="28">
        <f>IFERROR(IF(SUM(C27:G27)&gt;24,"إجمالي &gt; 24 ساعة.",SUM(C27:G27)), "")</f>
        <v/>
      </c>
      <c r="J27" s="70" t="inlineStr">
        <is>
          <t>Holiday. also he make pip in karam</t>
        </is>
      </c>
    </row>
    <row r="28" ht="32" customHeight="1" s="44">
      <c r="A28" s="62" t="n">
        <v>46103</v>
      </c>
      <c r="B28" s="71" t="inlineStr">
        <is>
          <t>P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Home`s Mr.Abdullah</t>
        </is>
      </c>
      <c r="I28" s="34">
        <f>IFERROR(IF(SUM(C28:G28)&gt;24,"إجمالي &gt; 24 ساعة.",SUM(C28:G28)), "")</f>
        <v/>
      </c>
      <c r="J28" s="70" t="inlineStr">
        <is>
          <t>Weekend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Abo-Abdullah-Villa 3hrs + Al Karama Complex 5hrs</t>
        </is>
      </c>
      <c r="I29" s="28">
        <f>IFERROR(IF(SUM(C29:G29)&gt;24,"إجمالي &gt; 24 ساعة.",SUM(C29:G29)), "")</f>
        <v/>
      </c>
      <c r="J29" s="70" t="inlineStr">
        <is>
          <t xml:space="preserve">main hole works drain open in Baba home. karama  villa electric work 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Abo-Abdullah-Villa 4hrs + Home`s Mr.Abdullah 4hrs</t>
        </is>
      </c>
      <c r="I30" s="34">
        <f>IFERROR(IF(SUM(C30:G30)&gt;24,"إجمالي &gt; 24 ساعة.",SUM(C30:G30)), "")</f>
        <v/>
      </c>
      <c r="J30" s="70" t="inlineStr">
        <is>
          <t>he close isolators of Ac with tape. also roof repair work</t>
        </is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Al Salam Complex 4hrs + Adil Villa 4hrs</t>
        </is>
      </c>
      <c r="I31" s="28">
        <f>IFERROR(IF(SUM(C31:G31)&gt;24,"إجمالي &gt; 24 ساعة.",SUM(C31:G31)), "")</f>
        <v/>
      </c>
      <c r="J31" s="70" t="inlineStr">
        <is>
          <t xml:space="preserve">adill villa electric short. salam villa also electric ⚡ problem 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>
        <v>1</v>
      </c>
      <c r="E32" s="74" t="n"/>
      <c r="F32" s="74" t="n"/>
      <c r="G32" s="29">
        <f>IF(B32="SL","SL","")</f>
        <v/>
      </c>
      <c r="H32" s="75" t="inlineStr">
        <is>
          <t>Al Karama Complex</t>
        </is>
      </c>
      <c r="I32" s="34">
        <f>IFERROR(IF(SUM(C32:G32)&gt;24,"إجمالي &gt; 24 ساعة.",SUM(C32:G32)), "")</f>
        <v/>
      </c>
      <c r="J32" s="70" t="inlineStr">
        <is>
          <t xml:space="preserve">Ac work also electric work </t>
        </is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Abo-Abdullah-Villa</t>
        </is>
      </c>
      <c r="I33" s="28">
        <f>IFERROR(IF(SUM(C33:G33)&gt;24,"إجمالي &gt; 24 ساعة.",SUM(C33:G33)), "")</f>
        <v/>
      </c>
      <c r="J33" s="70" t="inlineStr">
        <is>
          <t xml:space="preserve">we removed sand ramal. and threw bin alkarama </t>
        </is>
      </c>
    </row>
    <row r="34" ht="32" customHeight="1" s="44">
      <c r="A34" s="62" t="n">
        <v>46109</v>
      </c>
      <c r="B34" s="76" t="inlineStr">
        <is>
          <t>P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Masjid Al Karama</t>
        </is>
      </c>
      <c r="I34" s="34">
        <f>IFERROR(IF(SUM(C34:G34)&gt;24,"إجمالي &gt; 24 ساعة.",SUM(C34:G34)), "")</f>
        <v/>
      </c>
      <c r="J34" s="70" t="inlineStr">
        <is>
          <t xml:space="preserve">Cleaning work in villa  drainage work 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/>
      <c r="E35" s="68" t="n">
        <v>1</v>
      </c>
      <c r="F35" s="68" t="n"/>
      <c r="G35" s="26">
        <f>IF(B35="SL","SL","")</f>
        <v/>
      </c>
      <c r="H35" s="69" t="inlineStr">
        <is>
          <t>Al Karama Complex</t>
        </is>
      </c>
      <c r="I35" s="28">
        <f>IFERROR(IF(SUM(C35:G35)&gt;24,"إجمالي &gt; 24 ساعة.",SUM(C35:G35)), "")</f>
        <v/>
      </c>
      <c r="J35" s="70" t="inlineStr">
        <is>
          <t xml:space="preserve">Weekend </t>
        </is>
      </c>
    </row>
    <row r="36" ht="32" customHeight="1" s="44">
      <c r="A36" s="62" t="n">
        <v>46111</v>
      </c>
      <c r="B36" s="76" t="inlineStr">
        <is>
          <t>P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Home`s Mr.Abdullah</t>
        </is>
      </c>
      <c r="I36" s="34">
        <f>IFERROR(IF(SUM(C36:G36)&gt;24,"إجمالي &gt; 24 ساعة.",SUM(C36:G36)), "")</f>
        <v/>
      </c>
      <c r="J36" s="70" t="inlineStr">
        <is>
          <t>painting work in 130 villa</t>
        </is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/>
      <c r="E37" s="68" t="n"/>
      <c r="F37" s="68" t="n"/>
      <c r="G37" s="26" t="n"/>
      <c r="H37" s="69" t="inlineStr">
        <is>
          <t>Al Karama Complex</t>
        </is>
      </c>
      <c r="I37" s="28">
        <f>IFERROR(IF(SUM(C37:G37)&gt;24,"إجمالي &gt; 24 ساعة.",SUM(C37:G37)), "")</f>
        <v/>
      </c>
      <c r="J37" s="70" t="inlineStr">
        <is>
          <t>cleaning work and. maintenance work</t>
        </is>
      </c>
    </row>
    <row r="38" ht="30" customHeight="1" s="44">
      <c r="A38" s="54" t="inlineStr">
        <is>
          <t>إجمالي عدد الساعات :</t>
        </is>
      </c>
      <c r="B38" s="77" t="n"/>
      <c r="C38" s="78">
        <f>SUM(C7:C37) -  (COUNTIF(B7:B37, "AWO") * 8)</f>
        <v/>
      </c>
      <c r="D38" s="79">
        <f>IFERROR(SUM(D7:D37), "")</f>
        <v/>
      </c>
      <c r="E38" s="79">
        <f>IFERROR(SUM(E7:E37), "")</f>
        <v/>
      </c>
      <c r="F38" s="79">
        <f>IFERROR(SUM(F7:F37), "")</f>
        <v/>
      </c>
      <c r="G38" s="13" t="n"/>
      <c r="H38" s="80" t="n"/>
      <c r="I38" s="32" t="inlineStr">
        <is>
          <t>الملاحظات :</t>
        </is>
      </c>
      <c r="J38" s="81" t="n"/>
    </row>
    <row r="39" ht="30" customHeight="1" s="44">
      <c r="A39" s="54" t="inlineStr">
        <is>
          <t>إجمالي عدد ايام الدوام :</t>
        </is>
      </c>
      <c r="B39" s="77" t="n"/>
      <c r="C39" s="82">
        <f>COUNTIF(B7:B37, "P") + COUNTIF(B7:B37, "W") + COUNTIF(B7:B37, "H") + COUNTIF(B7:B37, "A") + COUNTIF(B7:B37, "AWO")-C40</f>
        <v/>
      </c>
      <c r="D39" s="82" t="n"/>
      <c r="E39" s="82" t="n"/>
      <c r="F39" s="82" t="n"/>
      <c r="G39" s="35" t="inlineStr">
        <is>
          <t>الاجازات المرضية</t>
        </is>
      </c>
      <c r="H39" s="83">
        <f>COUNTIF(B7:B37,"sl")</f>
        <v/>
      </c>
      <c r="I39" s="46">
        <f>COUNTIFS(G7:G37, "SL", G7:G37, "&lt;=3")</f>
        <v/>
      </c>
      <c r="J39" s="81" t="n"/>
    </row>
    <row r="40" ht="37.2" customHeight="1" s="44">
      <c r="A40" s="54" t="inlineStr">
        <is>
          <t>إجمالي عدد ايام الغياب :</t>
        </is>
      </c>
      <c r="B40" s="77" t="n"/>
      <c r="C40" s="82">
        <f>COUNTIF(B7:B37,"A")+COUNTIF(B7:B37,"AWO")*2</f>
        <v/>
      </c>
      <c r="D40" s="82" t="n"/>
      <c r="E40" s="82" t="n"/>
      <c r="F40" s="82" t="n"/>
      <c r="G40" s="33" t="inlineStr">
        <is>
          <t>قيمة الخصم الاضافي</t>
        </is>
      </c>
      <c r="H40" s="84" t="n">
        <v>0</v>
      </c>
      <c r="I40" s="47" t="n"/>
      <c r="J40" s="81" t="n"/>
    </row>
    <row r="41" ht="37.2" customHeight="1" s="44">
      <c r="A41" s="54" t="inlineStr">
        <is>
          <t>قيمة الخصم :</t>
        </is>
      </c>
      <c r="B41" s="77" t="n"/>
      <c r="C41" s="85">
        <f>COUNTIF(B7:B37,"AWO") * 2 * I3 +COUNTIF(B7:B37, "A") * I3</f>
        <v/>
      </c>
      <c r="D41" s="82" t="n"/>
      <c r="E41" s="82" t="n"/>
      <c r="F41" s="86" t="n"/>
      <c r="G41" s="35" t="inlineStr">
        <is>
          <t>مجموع الخصم :</t>
        </is>
      </c>
      <c r="H41" s="84">
        <f>SUM(C41+H40)</f>
        <v/>
      </c>
      <c r="I41" s="48" t="n"/>
      <c r="J41" s="81" t="n"/>
    </row>
    <row r="42" ht="37.2" customHeight="1" s="44">
      <c r="A42" s="54" t="inlineStr">
        <is>
          <t>إجمالي الأجر بعد الخصم :</t>
        </is>
      </c>
      <c r="B42" s="77" t="n"/>
      <c r="C42" s="87">
        <f>IF(F4&lt;&gt;"", I2/(DAY(EOMONTH(F2,0))*8)*C38, "")</f>
        <v/>
      </c>
      <c r="D42" s="87">
        <f>IFERROR(I2/(DAY(EOMONTH(F2,0))*8)*1.25*D38, "")</f>
        <v/>
      </c>
      <c r="E42" s="87">
        <f>IFERROR(I2/(DAY(EOMONTH(F2,0))*8)*1.5*E38, "")</f>
        <v/>
      </c>
      <c r="F42" s="87">
        <f>IFERROR(I2/(DAY(EOMONTH(F2,0))*8)*2.5*F38, "")</f>
        <v/>
      </c>
      <c r="G42" s="66" t="inlineStr">
        <is>
          <t>: الإجمالي</t>
        </is>
      </c>
      <c r="H42" s="77" t="n"/>
      <c r="I42" s="67">
        <f>IFERROR(SUM(C42:F42), "") - H40</f>
        <v/>
      </c>
      <c r="J42" s="81" t="n"/>
    </row>
    <row r="43" ht="34.2" customHeight="1" s="44">
      <c r="A43" s="17" t="inlineStr">
        <is>
          <t xml:space="preserve">التاريخ : </t>
        </is>
      </c>
      <c r="B43" s="88">
        <f>TODAY()</f>
        <v/>
      </c>
      <c r="C43" s="89" t="n"/>
      <c r="D43" s="90" t="inlineStr">
        <is>
          <t xml:space="preserve">توقيع الموظف : </t>
        </is>
      </c>
      <c r="E43" s="90" t="n"/>
      <c r="F43" s="90" t="n"/>
      <c r="G43" s="23" t="inlineStr">
        <is>
          <t xml:space="preserve">توقيع المدير : </t>
        </is>
      </c>
      <c r="H43" s="91" t="n"/>
      <c r="I43" s="18" t="n"/>
      <c r="J43" s="81" t="n"/>
    </row>
    <row r="44">
      <c r="A44" s="19" t="n"/>
      <c r="B44" s="92" t="n"/>
      <c r="C44" s="92" t="n"/>
      <c r="D44" s="92" t="n"/>
      <c r="E44" s="92" t="n"/>
      <c r="F44" s="92" t="n"/>
      <c r="G44" s="19" t="n"/>
      <c r="H44" s="92" t="n"/>
      <c r="I44" s="19" t="n"/>
      <c r="J44" s="81" t="n"/>
    </row>
    <row r="45">
      <c r="A45" s="19" t="n"/>
      <c r="B45" s="92" t="n"/>
      <c r="C45" s="92" t="n"/>
      <c r="D45" s="92" t="n"/>
      <c r="E45" s="92" t="n"/>
      <c r="F45" s="92" t="n"/>
      <c r="G45" s="19" t="n"/>
      <c r="H45" s="92" t="n"/>
      <c r="I45" s="19" t="n"/>
      <c r="J45" s="81" t="n"/>
    </row>
    <row r="46">
      <c r="B46" s="81" t="n"/>
      <c r="C46" s="81" t="n"/>
      <c r="D46" s="81" t="n"/>
      <c r="E46" s="81" t="n"/>
      <c r="F46" s="81" t="n"/>
      <c r="H46" s="81" t="n"/>
      <c r="J46" s="81" t="n"/>
    </row>
    <row r="47">
      <c r="B47" s="81" t="n"/>
      <c r="C47" s="81" t="n"/>
      <c r="D47" s="81" t="n"/>
      <c r="E47" s="81" t="n"/>
      <c r="F47" s="81" t="n"/>
      <c r="H47" s="81" t="n"/>
      <c r="J47" s="81" t="n"/>
    </row>
    <row r="48">
      <c r="B48" s="81" t="n"/>
      <c r="C48" s="81" t="n"/>
      <c r="D48" s="81" t="n"/>
      <c r="E48" s="81" t="n"/>
      <c r="F48" s="81" t="n"/>
      <c r="H48" s="81" t="n"/>
      <c r="J48" s="81" t="n"/>
    </row>
    <row r="49">
      <c r="B49" s="81" t="n"/>
      <c r="C49" s="81" t="n"/>
      <c r="D49" s="81" t="n"/>
      <c r="E49" s="81" t="n"/>
      <c r="F49" s="81" t="n"/>
      <c r="H49" s="81" t="n"/>
      <c r="J49" s="81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1400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محمد شاهجان جازى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Al Saada Complex</t>
        </is>
      </c>
      <c r="I7" s="28">
        <f>IFERROR(IF(SUM(C7:G7)&gt;24,"إجمالي &gt; 24 ساعة.",SUM(C7:G7)), "")</f>
        <v/>
      </c>
      <c r="J7" s="70" t="inlineStr">
        <is>
          <t>Weekend</t>
        </is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Al Saada Complex</t>
        </is>
      </c>
      <c r="I8" s="34">
        <f>IFERROR(IF(SUM(C8:G8)&gt;24,"إجمالي &gt; 24 ساعة.",SUM(C8:G8)), "")</f>
        <v/>
      </c>
      <c r="J8" s="70" t="inlineStr">
        <is>
          <t xml:space="preserve">Cleaning work in villa </t>
        </is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Al Saada Complex</t>
        </is>
      </c>
      <c r="I9" s="28">
        <f>IFERROR(IF(SUM(C9:G9)&gt;24,"إجمالي &gt; 24 ساعة.",SUM(C9:G9)), "")</f>
        <v/>
      </c>
      <c r="J9" s="70" t="inlineStr">
        <is>
          <t xml:space="preserve">painting and  cleaning worke </t>
        </is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Al Saada Complex</t>
        </is>
      </c>
      <c r="I10" s="34">
        <f>IFERROR(IF(SUM(C10:G10)&gt;24,"إجمالي &gt; 24 ساعة.",SUM(C10:G10)), "")</f>
        <v/>
      </c>
      <c r="J10" s="70" t="inlineStr">
        <is>
          <t xml:space="preserve">cleaning work also he give water to plant </t>
        </is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Al Saada Complex</t>
        </is>
      </c>
      <c r="I11" s="28">
        <f>IFERROR(IF(SUM(C11:G11)&gt;24,"إجمالي &gt; 24 ساعة.",SUM(C11:G11)), "")</f>
        <v/>
      </c>
      <c r="J11" s="70" t="inlineStr">
        <is>
          <t xml:space="preserve">cleaning work also  he give water to plant </t>
        </is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Al Saada Complex</t>
        </is>
      </c>
      <c r="I12" s="34">
        <f>IFERROR(IF(SUM(C12:G12)&gt;24,"إجمالي &gt; 24 ساعة.",SUM(C12:G12)), "")</f>
        <v/>
      </c>
      <c r="J12" s="70" t="inlineStr">
        <is>
          <t xml:space="preserve">he give water to plant also cleaning work </t>
        </is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Al Saada Complex</t>
        </is>
      </c>
      <c r="I13" s="28">
        <f>IFERROR(IF(SUM(C13:G13)&gt;24,"إجمالي &gt; 24 ساعة.",SUM(C13:G13)), "")</f>
        <v/>
      </c>
      <c r="J13" s="70" t="inlineStr">
        <is>
          <t xml:space="preserve">Cleaning work in villa 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Al Saada Complex</t>
        </is>
      </c>
      <c r="I14" s="34">
        <f>IFERROR(IF(SUM(C14:G14)&gt;24,"إجمالي &gt; 24 ساعة.",SUM(C14:G14)), "")</f>
        <v/>
      </c>
      <c r="J14" s="70" t="inlineStr">
        <is>
          <t>Weekend</t>
        </is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Al Saada Complex</t>
        </is>
      </c>
      <c r="I15" s="28">
        <f>IFERROR(IF(SUM(C15:G15)&gt;24,"إجمالي &gt; 24 ساعة.",SUM(C15:G15)), "")</f>
        <v/>
      </c>
      <c r="J15" s="70" t="inlineStr">
        <is>
          <t xml:space="preserve">he give water to plant also he cleaning c villa stair </t>
        </is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Al Saada Complex</t>
        </is>
      </c>
      <c r="I16" s="34">
        <f>IFERROR(IF(SUM(C16:G16)&gt;24,"إجمالي &gt; 24 ساعة.",SUM(C16:G16)), "")</f>
        <v/>
      </c>
      <c r="J16" s="70" t="inlineStr">
        <is>
          <t xml:space="preserve">Cleaning work in villa </t>
        </is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Al Saada Complex</t>
        </is>
      </c>
      <c r="I17" s="28">
        <f>IFERROR(IF(SUM(C17:G17)&gt;24,"إجمالي &gt; 24 ساعة.",SUM(C17:G17)), "")</f>
        <v/>
      </c>
      <c r="J17" s="70" t="inlineStr">
        <is>
          <t xml:space="preserve">Cleaning work in villa </t>
        </is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Al Saada Complex</t>
        </is>
      </c>
      <c r="I18" s="34">
        <f>IFERROR(IF(SUM(C18:G18)&gt;24,"إجمالي &gt; 24 ساعة.",SUM(C18:G18)), "")</f>
        <v/>
      </c>
      <c r="J18" s="70" t="inlineStr">
        <is>
          <t xml:space="preserve">Cleaning work in villa </t>
        </is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Al Saada Complex</t>
        </is>
      </c>
      <c r="I19" s="28">
        <f>IFERROR(IF(SUM(C19:G19)&gt;24,"إجمالي &gt; 24 ساعة.",SUM(C19:G19)), "")</f>
        <v/>
      </c>
      <c r="J19" s="70" t="inlineStr">
        <is>
          <t xml:space="preserve">Cleaning work in villa </t>
        </is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Al Saada Complex</t>
        </is>
      </c>
      <c r="I20" s="34">
        <f>IFERROR(IF(SUM(C20:G20)&gt;24,"إجمالي &gt; 24 ساعة.",SUM(C20:G20)), "")</f>
        <v/>
      </c>
      <c r="J20" s="70" t="inlineStr">
        <is>
          <t xml:space="preserve">Cleaning work also he give water to plant 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Al Saada Complex</t>
        </is>
      </c>
      <c r="I21" s="28">
        <f>IFERROR(IF(SUM(C21:G21)&gt;24,"إجمالي &gt; 24 ساعة.",SUM(C21:G21)), "")</f>
        <v/>
      </c>
      <c r="J21" s="70" t="inlineStr">
        <is>
          <t>Weekend</t>
        </is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Al Saada Complex</t>
        </is>
      </c>
      <c r="I22" s="34">
        <f>IFERROR(IF(SUM(C21:G21)&gt;24,"إجمالي &gt; 24 ساعة.",SUM(C21:G21)), "")</f>
        <v/>
      </c>
      <c r="J22" s="70" t="inlineStr">
        <is>
          <t xml:space="preserve">Cleaning work in villa . also e6 painting </t>
        </is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Al Saada Complex</t>
        </is>
      </c>
      <c r="I23" s="28">
        <f>IFERROR(IF(SUM(C23:G23)&gt;24,"إجمالي &gt; 24 ساعة.",SUM(C23:G23)), "")</f>
        <v/>
      </c>
      <c r="J23" s="70" t="inlineStr">
        <is>
          <t xml:space="preserve">Cleaning work in villa 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Al Saada Complex</t>
        </is>
      </c>
      <c r="I24" s="34">
        <f>IFERROR(IF(SUM(C24:G24)&gt;24,"إجمالي &gt; 24 ساعة.",SUM(C24:G24)), "")</f>
        <v/>
      </c>
      <c r="J24" s="70" t="inlineStr">
        <is>
          <t xml:space="preserve">Cleaning work in villa </t>
        </is>
      </c>
    </row>
    <row r="25" ht="32" customHeight="1" s="44">
      <c r="A25" s="61" t="n">
        <v>46100</v>
      </c>
      <c r="B25" s="68" t="inlineStr">
        <is>
          <t>P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Al Saada Complex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1" t="inlineStr">
        <is>
          <t>P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Al Saada Complex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68" t="inlineStr">
        <is>
          <t>P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Al Saada Complex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1" t="inlineStr">
        <is>
          <t>P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Al Saada Complex</t>
        </is>
      </c>
      <c r="I28" s="34">
        <f>IFERROR(IF(SUM(C28:G28)&gt;24,"إجمالي &gt; 24 ساعة.",SUM(C28:G28)), "")</f>
        <v/>
      </c>
      <c r="J28" s="70" t="inlineStr">
        <is>
          <t>Weekend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Al Saada Complex</t>
        </is>
      </c>
      <c r="I29" s="28">
        <f>IFERROR(IF(SUM(C29:G29)&gt;24,"إجمالي &gt; 24 ساعة.",SUM(C29:G29)), "")</f>
        <v/>
      </c>
      <c r="J29" s="70" t="inlineStr">
        <is>
          <t xml:space="preserve">Cleaning work in villa 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Al Saada Complex</t>
        </is>
      </c>
      <c r="I30" s="34">
        <f>IFERROR(IF(SUM(C30:G30)&gt;24,"إجمالي &gt; 24 ساعة.",SUM(C30:G30)), "")</f>
        <v/>
      </c>
      <c r="J30" s="70" t="inlineStr">
        <is>
          <t>cleaning work in villa</t>
        </is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Al Salam Complex</t>
        </is>
      </c>
      <c r="I31" s="28">
        <f>IFERROR(IF(SUM(C31:G31)&gt;24,"إجمالي &gt; 24 ساعة.",SUM(C31:G31)), "")</f>
        <v/>
      </c>
      <c r="J31" s="70" t="inlineStr">
        <is>
          <t xml:space="preserve">Cleaning work in villa 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/>
      <c r="E32" s="74" t="n"/>
      <c r="F32" s="74" t="n"/>
      <c r="G32" s="29">
        <f>IF(B32="SL","SL","")</f>
        <v/>
      </c>
      <c r="H32" s="75" t="inlineStr">
        <is>
          <t>Al Saada Complex</t>
        </is>
      </c>
      <c r="I32" s="34">
        <f>IFERROR(IF(SUM(C32:G32)&gt;24,"إجمالي &gt; 24 ساعة.",SUM(C32:G32)), "")</f>
        <v/>
      </c>
      <c r="J32" s="70" t="inlineStr">
        <is>
          <t xml:space="preserve">Cleaning work in villa </t>
        </is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Al Saada Complex</t>
        </is>
      </c>
      <c r="I33" s="28">
        <f>IFERROR(IF(SUM(C33:G33)&gt;24,"إجمالي &gt; 24 ساعة.",SUM(C33:G33)), "")</f>
        <v/>
      </c>
      <c r="J33" s="70" t="inlineStr">
        <is>
          <t xml:space="preserve">Cleaning work in villa </t>
        </is>
      </c>
    </row>
    <row r="34" ht="32" customHeight="1" s="44">
      <c r="A34" s="62" t="n">
        <v>46109</v>
      </c>
      <c r="B34" s="76" t="inlineStr">
        <is>
          <t>P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Al Saada Complex</t>
        </is>
      </c>
      <c r="I34" s="34">
        <f>IFERROR(IF(SUM(C34:G34)&gt;24,"إجمالي &gt; 24 ساعة.",SUM(C34:G34)), "")</f>
        <v/>
      </c>
      <c r="J34" s="70" t="inlineStr">
        <is>
          <t xml:space="preserve">Cleaning work in villa 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Al Saada Complex</t>
        </is>
      </c>
      <c r="I35" s="28">
        <f>IFERROR(IF(SUM(C35:G35)&gt;24,"إجمالي &gt; 24 ساعة.",SUM(C35:G35)), "")</f>
        <v/>
      </c>
      <c r="J35" s="70" t="inlineStr">
        <is>
          <t>Weekend</t>
        </is>
      </c>
    </row>
    <row r="36" ht="32" customHeight="1" s="44">
      <c r="A36" s="62" t="n">
        <v>46111</v>
      </c>
      <c r="B36" s="76" t="inlineStr">
        <is>
          <t>P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Al Saada Complex</t>
        </is>
      </c>
      <c r="I36" s="34">
        <f>IFERROR(IF(SUM(C36:G36)&gt;24,"إجمالي &gt; 24 ساعة.",SUM(C36:G36)), "")</f>
        <v/>
      </c>
      <c r="J36" s="70" t="inlineStr">
        <is>
          <t xml:space="preserve">Cleaning work in villa </t>
        </is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/>
      <c r="E37" s="68" t="n"/>
      <c r="F37" s="68" t="n"/>
      <c r="G37" s="26" t="n"/>
      <c r="H37" s="69" t="inlineStr">
        <is>
          <t>Al Saada Complex</t>
        </is>
      </c>
      <c r="I37" s="28">
        <f>IFERROR(IF(SUM(C37:G37)&gt;24,"إجمالي &gt; 24 ساعة.",SUM(C37:G37)), "")</f>
        <v/>
      </c>
      <c r="J37" s="70" t="inlineStr">
        <is>
          <t xml:space="preserve">Cleaning work in villa </t>
        </is>
      </c>
    </row>
    <row r="38" ht="30" customHeight="1" s="44">
      <c r="A38" s="54" t="inlineStr">
        <is>
          <t>إجمالي عدد الساعات :</t>
        </is>
      </c>
      <c r="B38" s="77" t="n"/>
      <c r="C38" s="78">
        <f>SUM(C7:C37) -  (COUNTIF(B7:B37, "AWO") * 8)</f>
        <v/>
      </c>
      <c r="D38" s="79">
        <f>IFERROR(SUM(D7:D37), "")</f>
        <v/>
      </c>
      <c r="E38" s="79">
        <f>IFERROR(SUM(E7:E37), "")</f>
        <v/>
      </c>
      <c r="F38" s="79">
        <f>IFERROR(SUM(F7:F37), "")</f>
        <v/>
      </c>
      <c r="G38" s="13" t="n"/>
      <c r="H38" s="80" t="n"/>
      <c r="I38" s="32" t="inlineStr">
        <is>
          <t>الملاحظات :</t>
        </is>
      </c>
      <c r="J38" s="81" t="n"/>
    </row>
    <row r="39" ht="30" customHeight="1" s="44">
      <c r="A39" s="54" t="inlineStr">
        <is>
          <t>إجمالي عدد ايام الدوام :</t>
        </is>
      </c>
      <c r="B39" s="77" t="n"/>
      <c r="C39" s="82">
        <f>COUNTIF(B7:B37, "P") + COUNTIF(B7:B37, "W") + COUNTIF(B7:B37, "H") + COUNTIF(B7:B37, "A") + COUNTIF(B7:B37, "AWO")-C40</f>
        <v/>
      </c>
      <c r="D39" s="82" t="n"/>
      <c r="E39" s="82" t="n"/>
      <c r="F39" s="82" t="n"/>
      <c r="G39" s="35" t="inlineStr">
        <is>
          <t>الاجازات المرضية</t>
        </is>
      </c>
      <c r="H39" s="83">
        <f>COUNTIF(B7:B37,"sl")</f>
        <v/>
      </c>
      <c r="I39" s="46">
        <f>COUNTIFS(G7:G37, "SL", G7:G37, "&lt;=3")</f>
        <v/>
      </c>
      <c r="J39" s="81" t="n"/>
    </row>
    <row r="40" ht="37.2" customHeight="1" s="44">
      <c r="A40" s="54" t="inlineStr">
        <is>
          <t>إجمالي عدد ايام الغياب :</t>
        </is>
      </c>
      <c r="B40" s="77" t="n"/>
      <c r="C40" s="82">
        <f>COUNTIF(B7:B37,"A")+COUNTIF(B7:B37,"AWO")*2</f>
        <v/>
      </c>
      <c r="D40" s="82" t="n"/>
      <c r="E40" s="82" t="n"/>
      <c r="F40" s="82" t="n"/>
      <c r="G40" s="33" t="inlineStr">
        <is>
          <t>قيمة الخصم الاضافي</t>
        </is>
      </c>
      <c r="H40" s="84" t="n">
        <v>0</v>
      </c>
      <c r="I40" s="47" t="n"/>
      <c r="J40" s="81" t="n"/>
    </row>
    <row r="41" ht="37.2" customHeight="1" s="44">
      <c r="A41" s="54" t="inlineStr">
        <is>
          <t>قيمة الخصم :</t>
        </is>
      </c>
      <c r="B41" s="77" t="n"/>
      <c r="C41" s="85">
        <f>COUNTIF(B7:B37,"AWO") * 2 * I3 +COUNTIF(B7:B37, "A") * I3</f>
        <v/>
      </c>
      <c r="D41" s="82" t="n"/>
      <c r="E41" s="82" t="n"/>
      <c r="F41" s="86" t="n"/>
      <c r="G41" s="35" t="inlineStr">
        <is>
          <t>مجموع الخصم :</t>
        </is>
      </c>
      <c r="H41" s="84">
        <f>SUM(C41+H40)</f>
        <v/>
      </c>
      <c r="I41" s="48" t="n"/>
      <c r="J41" s="81" t="n"/>
    </row>
    <row r="42" ht="37.2" customHeight="1" s="44">
      <c r="A42" s="54" t="inlineStr">
        <is>
          <t>إجمالي الأجر بعد الخصم :</t>
        </is>
      </c>
      <c r="B42" s="77" t="n"/>
      <c r="C42" s="87">
        <f>IF(F4&lt;&gt;"", I2/(DAY(EOMONTH(F2,0))*8)*C38, "")</f>
        <v/>
      </c>
      <c r="D42" s="87">
        <f>IFERROR(I2/(DAY(EOMONTH(F2,0))*8)*1.25*D38, "")</f>
        <v/>
      </c>
      <c r="E42" s="87">
        <f>IFERROR(I2/(DAY(EOMONTH(F2,0))*8)*1.5*E38, "")</f>
        <v/>
      </c>
      <c r="F42" s="87">
        <f>IFERROR(I2/(DAY(EOMONTH(F2,0))*8)*2.5*F38, "")</f>
        <v/>
      </c>
      <c r="G42" s="66" t="inlineStr">
        <is>
          <t>: الإجمالي</t>
        </is>
      </c>
      <c r="H42" s="77" t="n"/>
      <c r="I42" s="67">
        <f>IFERROR(SUM(C42:F42), "") - H40</f>
        <v/>
      </c>
      <c r="J42" s="81" t="n"/>
    </row>
    <row r="43" ht="34.2" customHeight="1" s="44">
      <c r="A43" s="17" t="inlineStr">
        <is>
          <t xml:space="preserve">التاريخ : </t>
        </is>
      </c>
      <c r="B43" s="88">
        <f>TODAY()</f>
        <v/>
      </c>
      <c r="C43" s="89" t="n"/>
      <c r="D43" s="90" t="inlineStr">
        <is>
          <t xml:space="preserve">توقيع الموظف : </t>
        </is>
      </c>
      <c r="E43" s="90" t="n"/>
      <c r="F43" s="90" t="n"/>
      <c r="G43" s="23" t="inlineStr">
        <is>
          <t xml:space="preserve">توقيع المدير : </t>
        </is>
      </c>
      <c r="H43" s="91" t="n"/>
      <c r="I43" s="18" t="n"/>
      <c r="J43" s="81" t="n"/>
    </row>
    <row r="44">
      <c r="A44" s="19" t="n"/>
      <c r="B44" s="92" t="n"/>
      <c r="C44" s="92" t="n"/>
      <c r="D44" s="92" t="n"/>
      <c r="E44" s="92" t="n"/>
      <c r="F44" s="92" t="n"/>
      <c r="G44" s="19" t="n"/>
      <c r="H44" s="92" t="n"/>
      <c r="I44" s="19" t="n"/>
      <c r="J44" s="81" t="n"/>
    </row>
    <row r="45">
      <c r="A45" s="19" t="n"/>
      <c r="B45" s="92" t="n"/>
      <c r="C45" s="92" t="n"/>
      <c r="D45" s="92" t="n"/>
      <c r="E45" s="92" t="n"/>
      <c r="F45" s="92" t="n"/>
      <c r="G45" s="19" t="n"/>
      <c r="H45" s="92" t="n"/>
      <c r="I45" s="19" t="n"/>
      <c r="J45" s="81" t="n"/>
    </row>
    <row r="46">
      <c r="B46" s="81" t="n"/>
      <c r="C46" s="81" t="n"/>
      <c r="D46" s="81" t="n"/>
      <c r="E46" s="81" t="n"/>
      <c r="F46" s="81" t="n"/>
      <c r="H46" s="81" t="n"/>
      <c r="J46" s="81" t="n"/>
    </row>
    <row r="47">
      <c r="B47" s="81" t="n"/>
      <c r="C47" s="81" t="n"/>
      <c r="D47" s="81" t="n"/>
      <c r="E47" s="81" t="n"/>
      <c r="F47" s="81" t="n"/>
      <c r="H47" s="81" t="n"/>
      <c r="J47" s="81" t="n"/>
    </row>
    <row r="48">
      <c r="B48" s="81" t="n"/>
      <c r="C48" s="81" t="n"/>
      <c r="D48" s="81" t="n"/>
      <c r="E48" s="81" t="n"/>
      <c r="F48" s="81" t="n"/>
      <c r="H48" s="81" t="n"/>
      <c r="J48" s="81" t="n"/>
    </row>
    <row r="49">
      <c r="B49" s="81" t="n"/>
      <c r="C49" s="81" t="n"/>
      <c r="D49" s="81" t="n"/>
      <c r="E49" s="81" t="n"/>
      <c r="F49" s="81" t="n"/>
      <c r="H49" s="81" t="n"/>
      <c r="J49" s="81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HP</dc:creator>
  <dcterms:created xsi:type="dcterms:W3CDTF">2024-12-18T10:07:28Z</dcterms:created>
  <dcterms:modified xsi:type="dcterms:W3CDTF">2026-03-29T11:03:04Z</dcterms:modified>
  <cp:lastModifiedBy>Office</cp:lastModifiedBy>
  <cp:lastPrinted>2025-12-31T10:30:34Z</cp:lastPrinted>
</cp:coreProperties>
</file>
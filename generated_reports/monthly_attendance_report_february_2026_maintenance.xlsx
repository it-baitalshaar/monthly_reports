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  <sheet name="عجب خان" sheetId="2" state="visible" r:id="rId2"/>
    <sheet name="حفيظ الله" sheetId="3" state="visible" r:id="rId3"/>
    <sheet name="شمس الرحمن" sheetId="4" state="visible" r:id="rId4"/>
    <sheet name="رحمت الله" sheetId="5" state="visible" r:id="rId5"/>
    <sheet name="نداء الله محمد ايوب خان" sheetId="6" state="visible" r:id="rId6"/>
    <sheet name="بلال خان سعيد رحمن" sheetId="7" state="visible" r:id="rId7"/>
    <sheet name="محمد شاهجان جازى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[$-409]d\-mmm\-yyyy;@"/>
    <numFmt numFmtId="165" formatCode="_-[$AED]* #,##0_-;\-[$AED]* #,##0_-;_-[$AED]* &quot;-&quot;_-;_-@_-"/>
    <numFmt numFmtId="166" formatCode="_-[$AED]* #,##0.00_-;\-[$AED]* #,##0.00_-;_-[$AED]* &quot;-&quot;??_-;_-@_-"/>
    <numFmt numFmtId="167" formatCode="_-&quot;AED&quot;* #,##0.00_-;\-&quot;AED&quot;* #,##0.00_-;_-&quot;AED&quot;* &quot;-&quot;??_-;_-@_-"/>
    <numFmt numFmtId="168" formatCode="[$-10000]dd/mm/yyyy;@"/>
    <numFmt numFmtId="169" formatCode="_([$AED]\ * #,##0_);_([$AED]\ * \(#,##0\);_([$AED]\ * &quot;-&quot;_);_(@_)"/>
    <numFmt numFmtId="170" formatCode="_(&quot;$&quot;* #,##0.00_);_(&quot;$&quot;* \(#,##0.00\);_(&quot;$&quot;* &quot;-&quot;??_);_(@_)"/>
  </numFmts>
  <fonts count="20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1"/>
      <sz val="11"/>
      <scheme val="minor"/>
    </font>
    <font>
      <name val="Tahoma"/>
      <family val="2"/>
      <b val="1"/>
      <color theme="9" tint="-0.249946592608417"/>
      <sz val="26"/>
    </font>
    <font>
      <name val="Tahoma"/>
      <family val="2"/>
      <color theme="1"/>
      <sz val="14"/>
    </font>
    <font>
      <name val="Tahoma"/>
      <family val="2"/>
      <color theme="9" tint="-0.249946592608417"/>
      <sz val="14"/>
    </font>
    <font>
      <name val="Tahoma"/>
      <family val="2"/>
      <b val="1"/>
      <color rgb="FFFFFFFF"/>
      <sz val="14"/>
    </font>
    <font>
      <name val="Tahoma"/>
      <family val="2"/>
      <color rgb="FF000000"/>
      <sz val="14"/>
    </font>
    <font>
      <name val="Tahoma"/>
      <family val="2"/>
      <b val="1"/>
      <color theme="0"/>
      <sz val="14"/>
    </font>
    <font>
      <name val="Tahoma"/>
      <family val="2"/>
      <color theme="1"/>
      <sz val="11"/>
    </font>
    <font>
      <name val="Tahoma"/>
      <family val="2"/>
      <b val="1"/>
      <color theme="1"/>
      <sz val="14"/>
    </font>
    <font>
      <name val="Arial"/>
      <family val="2"/>
      <b val="1"/>
      <color theme="1"/>
      <sz val="14"/>
    </font>
    <font>
      <name val="Tahoma"/>
      <family val="2"/>
      <b val="1"/>
      <sz val="14"/>
    </font>
    <font>
      <name val="Segoe UI"/>
      <family val="2"/>
      <b val="1"/>
      <sz val="14"/>
    </font>
    <font>
      <name val="Tahoma"/>
      <family val="2"/>
      <b val="1"/>
      <color rgb="FF000000"/>
      <sz val="14"/>
    </font>
    <font>
      <name val="Tahoma"/>
      <family val="2"/>
      <b val="1"/>
      <color rgb="FFFF0000"/>
      <sz val="14"/>
    </font>
    <font>
      <name val="Tahoma"/>
      <family val="2"/>
      <b val="1"/>
      <color rgb="FF00B050"/>
      <sz val="14"/>
    </font>
    <font>
      <name val="Tahoma"/>
      <family val="2"/>
      <color theme="1"/>
      <sz val="10"/>
    </font>
  </fonts>
  <fills count="13">
    <fill>
      <patternFill/>
    </fill>
    <fill>
      <patternFill patternType="gray125"/>
    </fill>
    <fill>
      <patternFill patternType="solid">
        <fgColor theme="9" tint="0.5999938962981048"/>
        <bgColor indexed="65"/>
      </patternFill>
    </fill>
    <fill>
      <patternFill patternType="solid">
        <fgColor rgb="FF445B5E"/>
        <bgColor rgb="FF95AEB1"/>
      </patternFill>
    </fill>
    <fill>
      <patternFill patternType="solid">
        <fgColor rgb="FFD5DEDF"/>
        <bgColor rgb="FF000000"/>
      </patternFill>
    </fill>
    <fill>
      <patternFill patternType="solid">
        <fgColor theme="9" tint="-0.499984740745262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9"/>
        <bgColor theme="9"/>
      </patternFill>
    </fill>
    <fill>
      <patternFill patternType="solid">
        <fgColor theme="9" tint="0.3999450666829432"/>
        <bgColor indexed="64"/>
      </patternFill>
    </fill>
    <fill>
      <patternFill patternType="solid">
        <fgColor rgb="FFBECDC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0.399975585192419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 tint="0.499984740745262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808080"/>
      </left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0">
    <xf numFmtId="0" fontId="1" fillId="0" borderId="0"/>
    <xf numFmtId="170" fontId="1" fillId="0" borderId="0"/>
    <xf numFmtId="0" fontId="2" fillId="0" borderId="0"/>
    <xf numFmtId="0" fontId="3" fillId="0" borderId="1"/>
    <xf numFmtId="0" fontId="4" fillId="0" borderId="2"/>
    <xf numFmtId="0" fontId="1" fillId="2" borderId="0"/>
    <xf numFmtId="14" fontId="11" fillId="0" borderId="0" applyAlignment="1">
      <alignment vertical="center" wrapText="1"/>
    </xf>
    <xf numFmtId="2" fontId="11" fillId="0" borderId="0" applyAlignment="1">
      <alignment horizontal="center" vertical="center"/>
    </xf>
    <xf numFmtId="0" fontId="13" fillId="0" borderId="5" applyAlignment="1">
      <alignment horizontal="center"/>
    </xf>
    <xf numFmtId="169" fontId="18" fillId="11" borderId="5" applyAlignment="1">
      <alignment horizontal="center" vertical="center" readingOrder="2"/>
    </xf>
  </cellStyleXfs>
  <cellXfs count="94">
    <xf numFmtId="0" fontId="0" fillId="0" borderId="0" pivotButton="0" quotePrefix="0" xfId="0"/>
    <xf numFmtId="0" fontId="8" fillId="3" borderId="3" applyAlignment="1" pivotButton="0" quotePrefix="0" xfId="0">
      <alignment horizontal="center" vertical="center" wrapText="1" readingOrder="2"/>
    </xf>
    <xf numFmtId="164" fontId="9" fillId="4" borderId="0" applyAlignment="1" pivotButton="0" quotePrefix="0" xfId="0">
      <alignment horizontal="center" vertical="center" wrapText="1" readingOrder="1"/>
    </xf>
    <xf numFmtId="0" fontId="10" fillId="5" borderId="4" applyAlignment="1" pivotButton="0" quotePrefix="0" xfId="0">
      <alignment horizontal="center" vertical="center" wrapText="1" readingOrder="2"/>
    </xf>
    <xf numFmtId="165" fontId="6" fillId="6" borderId="4" applyAlignment="1" pivotButton="0" quotePrefix="0" xfId="1">
      <alignment horizontal="center" vertical="center"/>
    </xf>
    <xf numFmtId="166" fontId="6" fillId="6" borderId="4" applyAlignment="1" pivotButton="0" quotePrefix="0" xfId="1">
      <alignment horizontal="center" vertical="center"/>
    </xf>
    <xf numFmtId="167" fontId="6" fillId="6" borderId="4" applyAlignment="1" pivotButton="0" quotePrefix="0" xfId="1">
      <alignment horizontal="center" vertical="center"/>
    </xf>
    <xf numFmtId="0" fontId="10" fillId="7" borderId="5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readingOrder="2"/>
    </xf>
    <xf numFmtId="0" fontId="12" fillId="0" borderId="6" applyAlignment="1" pivotButton="0" quotePrefix="0" xfId="0">
      <alignment horizontal="center" vertical="center" wrapText="1" readingOrder="2"/>
    </xf>
    <xf numFmtId="0" fontId="12" fillId="0" borderId="6" applyAlignment="1" pivotButton="0" quotePrefix="0" xfId="0">
      <alignment horizontal="center" vertical="center" wrapText="1"/>
    </xf>
    <xf numFmtId="1" fontId="15" fillId="0" borderId="5" applyAlignment="1" pivotButton="0" quotePrefix="0" xfId="7">
      <alignment horizontal="center" vertical="center"/>
    </xf>
    <xf numFmtId="1" fontId="12" fillId="8" borderId="5" applyAlignment="1" pivotButton="0" quotePrefix="0" xfId="7">
      <alignment horizontal="center" vertical="center" readingOrder="2"/>
    </xf>
    <xf numFmtId="0" fontId="16" fillId="9" borderId="5" applyAlignment="1" pivotButton="0" quotePrefix="0" xfId="0">
      <alignment horizontal="center" vertical="center" readingOrder="2"/>
    </xf>
    <xf numFmtId="0" fontId="12" fillId="0" borderId="5" applyAlignment="1" pivotButton="0" quotePrefix="0" xfId="1">
      <alignment horizontal="center" vertical="center" readingOrder="2"/>
    </xf>
    <xf numFmtId="0" fontId="12" fillId="10" borderId="5" applyAlignment="1" pivotButton="0" quotePrefix="0" xfId="7">
      <alignment horizontal="center" vertical="center" readingOrder="2"/>
    </xf>
    <xf numFmtId="166" fontId="12" fillId="8" borderId="5" applyAlignment="1" pivotButton="0" quotePrefix="0" xfId="1">
      <alignment horizontal="center" vertical="center" readingOrder="2"/>
    </xf>
    <xf numFmtId="0" fontId="12" fillId="10" borderId="10" applyAlignment="1" pivotButton="0" quotePrefix="0" xfId="4">
      <alignment vertical="center" readingOrder="2"/>
    </xf>
    <xf numFmtId="0" fontId="14" fillId="10" borderId="13" applyAlignment="1" pivotButton="0" quotePrefix="0" xfId="3">
      <alignment wrapText="1" readingOrder="2"/>
    </xf>
    <xf numFmtId="0" fontId="0" fillId="10" borderId="0" pivotButton="0" quotePrefix="0" xfId="0"/>
    <xf numFmtId="14" fontId="12" fillId="10" borderId="0" applyAlignment="1" pivotButton="0" quotePrefix="0" xfId="4">
      <alignment horizontal="right" vertical="center" readingOrder="2"/>
    </xf>
    <xf numFmtId="0" fontId="12" fillId="10" borderId="0" applyAlignment="1" pivotButton="0" quotePrefix="0" xfId="4">
      <alignment horizontal="right" vertical="center" readingOrder="2"/>
    </xf>
    <xf numFmtId="0" fontId="12" fillId="10" borderId="13" applyAlignment="1" pivotButton="0" quotePrefix="0" xfId="0">
      <alignment vertical="center" wrapText="1" readingOrder="2"/>
    </xf>
    <xf numFmtId="0" fontId="14" fillId="10" borderId="13" applyAlignment="1" pivotButton="0" quotePrefix="0" xfId="3">
      <alignment vertical="center" wrapText="1" readingOrder="2"/>
    </xf>
    <xf numFmtId="1" fontId="19" fillId="11" borderId="5" applyAlignment="1" pivotButton="0" quotePrefix="0" xfId="7">
      <alignment horizontal="center" vertical="center" wrapText="1" readingOrder="2"/>
    </xf>
    <xf numFmtId="0" fontId="6" fillId="2" borderId="0" applyAlignment="1" pivotButton="0" quotePrefix="0" xfId="5">
      <alignment horizontal="center" vertical="center" wrapText="1"/>
    </xf>
    <xf numFmtId="0" fontId="13" fillId="11" borderId="5" applyAlignment="1" pivotButton="0" quotePrefix="0" xfId="0">
      <alignment horizontal="center"/>
    </xf>
    <xf numFmtId="0" fontId="13" fillId="0" borderId="5" applyAlignment="1" pivotButton="0" quotePrefix="0" xfId="0">
      <alignment horizontal="center"/>
    </xf>
    <xf numFmtId="0" fontId="12" fillId="11" borderId="5" applyAlignment="1" pivotButton="0" quotePrefix="0" xfId="0">
      <alignment horizontal="center" vertical="center"/>
    </xf>
    <xf numFmtId="1" fontId="12" fillId="0" borderId="5" applyAlignment="1" pivotButton="0" quotePrefix="0" xfId="7">
      <alignment horizontal="center" vertical="center" readingOrder="2"/>
    </xf>
    <xf numFmtId="1" fontId="19" fillId="0" borderId="5" applyAlignment="1" pivotButton="0" quotePrefix="0" xfId="7">
      <alignment horizontal="center" vertical="center" wrapText="1" readingOrder="2"/>
    </xf>
    <xf numFmtId="0" fontId="12" fillId="0" borderId="5" applyAlignment="1" pivotButton="0" quotePrefix="0" xfId="6">
      <alignment horizontal="center" vertical="center" readingOrder="2"/>
    </xf>
    <xf numFmtId="0" fontId="12" fillId="8" borderId="5" applyAlignment="1" pivotButton="0" quotePrefix="0" xfId="7">
      <alignment horizontal="center" vertical="center" readingOrder="2"/>
    </xf>
    <xf numFmtId="0" fontId="17" fillId="12" borderId="14" applyAlignment="1" pivotButton="0" quotePrefix="0" xfId="4">
      <alignment horizontal="center" vertical="center" wrapText="1" readingOrder="2"/>
    </xf>
    <xf numFmtId="1" fontId="12" fillId="0" borderId="5" applyAlignment="1" pivotButton="0" quotePrefix="0" xfId="7">
      <alignment horizontal="center" vertical="center"/>
    </xf>
    <xf numFmtId="0" fontId="12" fillId="12" borderId="14" applyAlignment="1" pivotButton="0" quotePrefix="0" xfId="4">
      <alignment horizontal="center" vertical="center" readingOrder="2"/>
    </xf>
    <xf numFmtId="0" fontId="16" fillId="0" borderId="5" applyAlignment="1" pivotButton="0" quotePrefix="0" xfId="0">
      <alignment horizontal="center" vertical="center" readingOrder="1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0" fillId="0" borderId="16" applyAlignment="1" pivotButton="0" quotePrefix="0" xfId="0">
      <alignment horizontal="center" vertical="center" wrapText="1"/>
    </xf>
    <xf numFmtId="0" fontId="0" fillId="0" borderId="0" pivotButton="0" quotePrefix="0" xfId="0"/>
    <xf numFmtId="0" fontId="5" fillId="0" borderId="0" applyAlignment="1" pivotButton="0" quotePrefix="0" xfId="2">
      <alignment horizontal="center" vertical="center" readingOrder="2"/>
    </xf>
    <xf numFmtId="0" fontId="12" fillId="8" borderId="5" applyAlignment="1" pivotButton="0" quotePrefix="0" xfId="1">
      <alignment horizontal="center" vertical="center" readingOrder="2"/>
    </xf>
    <xf numFmtId="0" fontId="0" fillId="0" borderId="8" pivotButton="0" quotePrefix="0" xfId="0"/>
    <xf numFmtId="0" fontId="0" fillId="0" borderId="9" pivotButton="0" quotePrefix="0" xfId="0"/>
    <xf numFmtId="167" fontId="12" fillId="0" borderId="5" applyAlignment="1" pivotButton="0" quotePrefix="0" xfId="1">
      <alignment horizontal="center" vertical="center" readingOrder="2"/>
    </xf>
    <xf numFmtId="0" fontId="0" fillId="0" borderId="7" pivotButton="0" quotePrefix="0" xfId="0"/>
    <xf numFmtId="0" fontId="2" fillId="10" borderId="0" applyAlignment="1" pivotButton="0" quotePrefix="0" xfId="2">
      <alignment horizontal="center" vertical="center" readingOrder="2"/>
    </xf>
    <xf numFmtId="0" fontId="6" fillId="10" borderId="11" applyAlignment="1" pivotButton="0" quotePrefix="0" xfId="0">
      <alignment horizontal="center" vertical="center" wrapText="1" readingOrder="2"/>
    </xf>
    <xf numFmtId="0" fontId="0" fillId="0" borderId="11" pivotButton="0" quotePrefix="0" xfId="0"/>
    <xf numFmtId="0" fontId="12" fillId="12" borderId="5" applyAlignment="1" pivotButton="0" quotePrefix="0" xfId="4">
      <alignment horizontal="center" vertical="center" readingOrder="2"/>
    </xf>
    <xf numFmtId="0" fontId="6" fillId="10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7" fillId="10" borderId="0" applyAlignment="1" pivotButton="0" quotePrefix="0" xfId="2">
      <alignment horizontal="center" vertical="center" readingOrder="2"/>
    </xf>
    <xf numFmtId="0" fontId="12" fillId="2" borderId="15" applyAlignment="1" pivotButton="0" quotePrefix="0" xfId="5">
      <alignment horizontal="center" vertical="center" wrapText="1"/>
    </xf>
    <xf numFmtId="0" fontId="0" fillId="10" borderId="0" applyAlignment="1" pivotButton="0" quotePrefix="0" xfId="0">
      <alignment horizontal="center" vertical="center" wrapText="1" readingOrder="2"/>
    </xf>
    <xf numFmtId="167" fontId="6" fillId="6" borderId="4" applyAlignment="1" pivotButton="0" quotePrefix="0" xfId="1">
      <alignment horizontal="center" vertical="center"/>
    </xf>
    <xf numFmtId="168" fontId="12" fillId="6" borderId="5" applyAlignment="1" pivotButton="0" quotePrefix="0" xfId="6">
      <alignment horizontal="center" vertical="center" readingOrder="2"/>
    </xf>
    <xf numFmtId="168" fontId="12" fillId="0" borderId="5" applyAlignment="1" pivotButton="0" quotePrefix="0" xfId="6">
      <alignment horizontal="center" vertical="center" readingOrder="2"/>
    </xf>
    <xf numFmtId="169" fontId="12" fillId="8" borderId="5" applyAlignment="1" pivotButton="0" quotePrefix="0" xfId="7">
      <alignment horizontal="center" vertical="center" readingOrder="2"/>
    </xf>
    <xf numFmtId="169" fontId="12" fillId="0" borderId="5" applyAlignment="1" pivotButton="0" quotePrefix="0" xfId="1">
      <alignment horizontal="center" vertical="center" readingOrder="2"/>
    </xf>
    <xf numFmtId="169" fontId="17" fillId="0" borderId="5" applyAlignment="1" pivotButton="0" quotePrefix="0" xfId="1">
      <alignment horizontal="center" vertical="center" readingOrder="2"/>
    </xf>
    <xf numFmtId="167" fontId="12" fillId="0" borderId="5" applyAlignment="1" pivotButton="0" quotePrefix="0" xfId="1">
      <alignment horizontal="center" vertical="center" readingOrder="2"/>
    </xf>
    <xf numFmtId="169" fontId="18" fillId="11" borderId="5" applyAlignment="1" pivotButton="0" quotePrefix="0" xfId="1">
      <alignment horizontal="center" vertical="center" readingOrder="2"/>
    </xf>
    <xf numFmtId="0" fontId="13" fillId="11" borderId="5" applyAlignment="1" applyProtection="1" pivotButton="0" quotePrefix="0" xfId="0">
      <alignment horizontal="center"/>
      <protection locked="0" hidden="0"/>
    </xf>
    <xf numFmtId="1" fontId="19" fillId="11" borderId="5" applyAlignment="1" applyProtection="1" pivotButton="0" quotePrefix="0" xfId="7">
      <alignment horizontal="center" vertical="center" wrapText="1" readingOrder="2"/>
      <protection locked="0" hidden="0"/>
    </xf>
    <xf numFmtId="0" fontId="0" fillId="0" borderId="16" applyAlignment="1" applyProtection="1" pivotButton="0" quotePrefix="0" xfId="0">
      <alignment wrapText="1"/>
      <protection locked="0" hidden="0"/>
    </xf>
    <xf numFmtId="0" fontId="13" fillId="0" borderId="5" applyAlignment="1" applyProtection="1" pivotButton="0" quotePrefix="0" xfId="0">
      <alignment horizontal="center"/>
      <protection locked="0" hidden="0"/>
    </xf>
    <xf numFmtId="1" fontId="15" fillId="0" borderId="5" applyAlignment="1" applyProtection="1" pivotButton="0" quotePrefix="0" xfId="7">
      <alignment horizontal="center" vertical="center"/>
      <protection locked="0" hidden="0"/>
    </xf>
    <xf numFmtId="1" fontId="12" fillId="0" borderId="5" applyAlignment="1" applyProtection="1" pivotButton="0" quotePrefix="0" xfId="7">
      <alignment horizontal="center" vertical="center" readingOrder="2"/>
      <protection locked="0" hidden="0"/>
    </xf>
    <xf numFmtId="1" fontId="12" fillId="0" borderId="5" applyAlignment="1" applyProtection="1" pivotButton="0" quotePrefix="0" xfId="7">
      <alignment horizontal="center" vertical="center"/>
      <protection locked="0" hidden="0"/>
    </xf>
    <xf numFmtId="1" fontId="19" fillId="0" borderId="5" applyAlignment="1" applyProtection="1" pivotButton="0" quotePrefix="0" xfId="7">
      <alignment horizontal="center" vertical="center" wrapText="1" readingOrder="2"/>
      <protection locked="0" hidden="0"/>
    </xf>
    <xf numFmtId="0" fontId="12" fillId="0" borderId="5" applyAlignment="1" applyProtection="1" pivotButton="0" quotePrefix="0" xfId="6">
      <alignment horizontal="center" vertical="center" readingOrder="2"/>
      <protection locked="0" hidden="0"/>
    </xf>
    <xf numFmtId="0" fontId="0" fillId="0" borderId="16" applyAlignment="1" applyProtection="1" pivotButton="0" quotePrefix="0" xfId="0">
      <alignment horizontal="center" vertical="center" wrapText="1"/>
      <protection locked="0" hidden="0"/>
    </xf>
    <xf numFmtId="0" fontId="0" fillId="0" borderId="7" applyProtection="1" pivotButton="0" quotePrefix="0" xfId="0">
      <protection locked="0" hidden="0"/>
    </xf>
    <xf numFmtId="1" fontId="12" fillId="8" borderId="5" applyAlignment="1" applyProtection="1" pivotButton="0" quotePrefix="0" xfId="7">
      <alignment horizontal="center" vertical="center" readingOrder="2"/>
      <protection locked="0" hidden="0"/>
    </xf>
    <xf numFmtId="0" fontId="12" fillId="8" borderId="5" applyAlignment="1" applyProtection="1" pivotButton="0" quotePrefix="0" xfId="7">
      <alignment horizontal="center" vertical="center" readingOrder="2"/>
      <protection locked="0" hidden="0"/>
    </xf>
    <xf numFmtId="169" fontId="12" fillId="8" borderId="5" applyAlignment="1" applyProtection="1" pivotButton="0" quotePrefix="0" xfId="7">
      <alignment horizontal="center" vertical="center" readingOrder="2"/>
      <protection locked="0" hidden="0"/>
    </xf>
    <xf numFmtId="0" fontId="0" fillId="0" borderId="0" applyProtection="1" pivotButton="0" quotePrefix="0" xfId="0">
      <protection locked="0" hidden="0"/>
    </xf>
    <xf numFmtId="0" fontId="12" fillId="0" borderId="5" applyAlignment="1" applyProtection="1" pivotButton="0" quotePrefix="0" xfId="1">
      <alignment horizontal="center" vertical="center" readingOrder="2"/>
      <protection locked="0" hidden="0"/>
    </xf>
    <xf numFmtId="0" fontId="16" fillId="0" borderId="5" applyAlignment="1" applyProtection="1" pivotButton="0" quotePrefix="0" xfId="0">
      <alignment horizontal="center" vertical="center" readingOrder="1"/>
      <protection locked="0" hidden="0"/>
    </xf>
    <xf numFmtId="169" fontId="12" fillId="0" borderId="5" applyAlignment="1" applyProtection="1" pivotButton="0" quotePrefix="0" xfId="1">
      <alignment horizontal="center" vertical="center" readingOrder="2"/>
      <protection locked="0" hidden="0"/>
    </xf>
    <xf numFmtId="169" fontId="17" fillId="0" borderId="5" applyAlignment="1" applyProtection="1" pivotButton="0" quotePrefix="0" xfId="1">
      <alignment horizontal="center" vertical="center" readingOrder="2"/>
      <protection locked="0" hidden="0"/>
    </xf>
    <xf numFmtId="0" fontId="12" fillId="10" borderId="5" applyAlignment="1" applyProtection="1" pivotButton="0" quotePrefix="0" xfId="7">
      <alignment horizontal="center" vertical="center" readingOrder="2"/>
      <protection locked="0" hidden="0"/>
    </xf>
    <xf numFmtId="166" fontId="12" fillId="8" borderId="5" applyAlignment="1" applyProtection="1" pivotButton="0" quotePrefix="0" xfId="1">
      <alignment horizontal="center" vertical="center" readingOrder="2"/>
      <protection locked="0" hidden="0"/>
    </xf>
    <xf numFmtId="14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0" applyAlignment="1" applyProtection="1" pivotButton="0" quotePrefix="0" xfId="4">
      <alignment horizontal="right" vertical="center" readingOrder="2"/>
      <protection locked="0" hidden="0"/>
    </xf>
    <xf numFmtId="0" fontId="12" fillId="10" borderId="13" applyAlignment="1" applyProtection="1" pivotButton="0" quotePrefix="0" xfId="0">
      <alignment vertical="center" wrapText="1" readingOrder="2"/>
      <protection locked="0" hidden="0"/>
    </xf>
    <xf numFmtId="0" fontId="14" fillId="10" borderId="13" applyAlignment="1" applyProtection="1" pivotButton="0" quotePrefix="0" xfId="3">
      <alignment wrapText="1" readingOrder="2"/>
      <protection locked="0" hidden="0"/>
    </xf>
    <xf numFmtId="0" fontId="0" fillId="10" borderId="0" applyProtection="1" pivotButton="0" quotePrefix="0" xfId="0">
      <protection locked="0" hidden="0"/>
    </xf>
  </cellXfs>
  <cellStyles count="10">
    <cellStyle name="Normal" xfId="0" builtinId="0"/>
    <cellStyle name="Currency" xfId="1" builtinId="4"/>
    <cellStyle name="Title" xfId="2" builtinId="15"/>
    <cellStyle name="Heading 2" xfId="3" builtinId="17"/>
    <cellStyle name="Total" xfId="4" builtinId="25"/>
    <cellStyle name="40% - Accent6" xfId="5" builtinId="51"/>
    <cellStyle name="التاريخ" xfId="6"/>
    <cellStyle name="الساعات" xfId="7"/>
    <cellStyle name="Style 1" xfId="8"/>
    <cellStyle name="Style 2" xfId="9"/>
  </cellStyles>
  <dxfs count="13"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family val="2"/>
        <b val="1"/>
        <strike val="0"/>
        <outline val="0"/>
        <shadow val="0"/>
        <color auto="1"/>
        <sz val="10"/>
        <vertAlign val="baseline"/>
      </font>
      <numFmt numFmtId="1" formatCode="0"/>
      <fill>
        <patternFill>
          <fgColor indexed="64"/>
          <bgColor indexed="65"/>
        </patternFill>
      </fill>
      <alignment horizontal="center" vertical="center" wrapText="1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medium">
          <color rgb="FFCCCCCC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condense val="0"/>
        <color theme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condense val="0"/>
        <color auto="1"/>
        <extend val="0"/>
        <sz val="14"/>
        <vertAlign val="baseline"/>
      </font>
      <numFmt numFmtId="1" formatCode="0"/>
      <fill>
        <patternFill>
          <fgColor indexed="64"/>
          <bgColor indexed="65"/>
        </patternFill>
      </fill>
      <alignment horizontal="center"/>
      <border outline="0">
        <left style="thin">
          <color indexed="64"/>
        </left>
        <right style="medium">
          <color rgb="FFCCCCCC"/>
        </right>
        <top style="thin">
          <color indexed="64"/>
        </top>
        <bottom style="thin">
          <color indexed="64"/>
        </bottom>
      </border>
    </dxf>
    <dxf>
      <font>
        <name val="Tahoma"/>
        <b val="1"/>
        <strike val="0"/>
        <outline val="0"/>
        <shadow val="0"/>
        <sz val="14"/>
        <vertAlign val="baseline"/>
      </font>
      <numFmt numFmtId="0" formatCode="General"/>
      <alignment horizontal="center" vertical="center" readingOrder="2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rgb="FF000000"/>
        </left>
        <right style="thin">
          <color rgb="FF000000"/>
        </right>
        <top/>
        <bottom/>
      </border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</dxf>
    <dxf>
      <font>
        <name val="Tahoma"/>
        <b val="1"/>
        <strike val="0"/>
        <outline val="0"/>
        <shadow val="0"/>
        <sz val="14"/>
        <vertAlign val="baseline"/>
      </font>
      <alignment horizontal="center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بطاقة_الوقت4517" displayName="بطاقة_الوقت4517" ref="B6:I37" headerRowCount="1" headerRowDxfId="12" dataDxfId="11" totalsRowDxfId="10">
  <tableColumns count="8">
    <tableColumn id="2" name="الحضور" dataDxfId="9" dataCellStyle="التاريخ"/>
    <tableColumn id="3" name="ساعات العمل " totalsRowFunction="custom" dataDxfId="8" dataCellStyle="الساعات">
      <calculatedColumnFormula>IF(OR(B7="W", B7="SL", B7="P", B7="H"), 8, "")</calculatedColumnFormula>
      <totalsRowFormula>SUM(C7:C37)</totalsRowFormula>
    </tableColumn>
    <tableColumn id="4" name="ساعات العمل الإضافية " totalsRowFunction="custom" dataDxfId="7" dataCellStyle="الساعات">
      <totalsRowFormula>SUM(D7:D37)</totalsRowFormula>
    </tableColumn>
    <tableColumn id="6" name="ساعات العمل خلال الإجازة" totalsRowFunction="custom" dataDxfId="6" dataCellStyle="الساعات">
      <totalsRowFormula>SUM(E7:E37)</totalsRowFormula>
    </tableColumn>
    <tableColumn id="8" name="ساعات العمل بالمناسبات الرسمية " dataDxfId="5" dataCellStyle="الساعات"/>
    <tableColumn id="5" name="إجازة مرضية" totalsRowFunction="custom" dataDxfId="4" dataCellStyle="الساعات">
      <calculatedColumnFormula>IF(B7="SL","SL","")</calculatedColumnFormula>
      <totalsRowFormula>SUM(G7:G37)</totalsRowFormula>
    </tableColumn>
    <tableColumn id="7" name="المشروع" totalsRowFunction="sum" dataDxfId="3" dataCellStyle="الساعات"/>
    <tableColumn id="9" name="الاجمالي" dataDxfId="2" dataCellStyle="الساعات">
      <calculatedColumnFormula>IFERROR(IF(SUM(C7:G7)&gt;24,"إجمالي &gt; 24 ساعة.",SUM(C7:G7)), "")</calculatedColumnFormula>
    </tableColumn>
  </tableColumns>
  <tableStyleInfo name="TableStyleLight14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abd">
      <a:dk1>
        <a:sysClr val="windowText" lastClr="000000"/>
      </a:dk1>
      <a:lt1>
        <a:sysClr val="window" lastClr="FFFFFF"/>
      </a:lt1>
      <a:dk2>
        <a:srgbClr val="4A606E"/>
      </a:dk2>
      <a:lt2>
        <a:srgbClr val="D1FFE3"/>
      </a:lt2>
      <a:accent1>
        <a:srgbClr val="79B5B0"/>
      </a:accent1>
      <a:accent2>
        <a:srgbClr val="B4BC4C"/>
      </a:accent2>
      <a:accent3>
        <a:srgbClr val="B77851"/>
      </a:accent3>
      <a:accent4>
        <a:srgbClr val="776A5B"/>
      </a:accent4>
      <a:accent5>
        <a:srgbClr val="B6AD76"/>
      </a:accent5>
      <a:accent6>
        <a:srgbClr val="95AEB1"/>
      </a:accent6>
      <a:hlink>
        <a:srgbClr val="3ECCED"/>
      </a:hlink>
      <a:folHlink>
        <a:srgbClr val="2C6C93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5"/>
  <sheetViews>
    <sheetView rightToLeft="1" tabSelected="1" topLeftCell="A3" workbookViewId="0">
      <selection activeCell="B43" sqref="B43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46023</v>
      </c>
      <c r="G2" s="55" t="n"/>
      <c r="H2" s="3" t="inlineStr">
        <is>
          <t>الراتب الاساسي :</t>
        </is>
      </c>
      <c r="I2" s="4" t="n"/>
    </row>
    <row r="3" ht="35.4" customHeight="1" s="44">
      <c r="E3" s="1" t="inlineStr">
        <is>
          <t>نهاية الشهر</t>
        </is>
      </c>
      <c r="F3" s="2" t="n">
        <v>46053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Abdullah Ghazi</t>
        </is>
      </c>
      <c r="E4" s="3" t="inlineStr">
        <is>
          <t>الشهر</t>
        </is>
      </c>
      <c r="F4" s="25" t="inlineStr">
        <is>
          <t>January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0" customHeight="1" s="44">
      <c r="A7" s="61" t="n"/>
      <c r="B7" s="26" t="n"/>
      <c r="C7" s="26" t="n"/>
      <c r="D7" s="26" t="n"/>
      <c r="E7" s="26" t="n"/>
      <c r="F7" s="26" t="n"/>
      <c r="G7" s="26" t="n"/>
      <c r="H7" s="24" t="n"/>
      <c r="I7" s="28">
        <f>IFERROR(IF(SUM(C7:G7)&gt;24,"إجمالي &gt; 24 ساعة.",SUM(C7:G7)), "")</f>
        <v/>
      </c>
      <c r="J7" s="43" t="n"/>
    </row>
    <row r="8" ht="30" customHeight="1" s="44">
      <c r="A8" s="62" t="n"/>
      <c r="B8" s="27" t="n"/>
      <c r="C8" s="11" t="n"/>
      <c r="D8" s="27" t="n"/>
      <c r="E8" s="29" t="n"/>
      <c r="F8" s="34" t="n"/>
      <c r="G8" s="29">
        <f>IF(B8="SL","SL","")</f>
        <v/>
      </c>
      <c r="H8" s="30" t="n"/>
      <c r="I8" s="34">
        <f>IFERROR(IF(SUM(C8:G8)&gt;24,"إجمالي &gt; 24 ساعة.",SUM(C8:G8)), "")</f>
        <v/>
      </c>
      <c r="J8" s="43" t="n"/>
    </row>
    <row r="9" ht="30" customHeight="1" s="44">
      <c r="A9" s="61" t="n"/>
      <c r="B9" s="26" t="n"/>
      <c r="C9" s="26" t="n"/>
      <c r="D9" s="26" t="n"/>
      <c r="E9" s="26" t="n"/>
      <c r="F9" s="26" t="n"/>
      <c r="G9" s="26">
        <f>IF(B9="SL","SL","")</f>
        <v/>
      </c>
      <c r="H9" s="24" t="n"/>
      <c r="I9" s="28">
        <f>IFERROR(IF(SUM(C9:G9)&gt;24,"إجمالي &gt; 24 ساعة.",SUM(C9:G9)), "")</f>
        <v/>
      </c>
      <c r="J9" s="43" t="n"/>
    </row>
    <row r="10" ht="30" customHeight="1" s="44">
      <c r="A10" s="62" t="n"/>
      <c r="B10" s="27" t="n"/>
      <c r="C10" s="11" t="n"/>
      <c r="D10" s="27" t="n"/>
      <c r="E10" s="29" t="n"/>
      <c r="F10" s="34" t="n"/>
      <c r="G10" s="29">
        <f>IF(B10="SL","SL","")</f>
        <v/>
      </c>
      <c r="H10" s="30" t="n"/>
      <c r="I10" s="34">
        <f>IFERROR(IF(SUM(C10:G10)&gt;24,"إجمالي &gt; 24 ساعة.",SUM(C10:G10)), "")</f>
        <v/>
      </c>
      <c r="J10" s="43" t="n"/>
    </row>
    <row r="11" ht="30" customHeight="1" s="44">
      <c r="A11" s="61" t="n"/>
      <c r="B11" s="26" t="n"/>
      <c r="C11" s="26" t="n"/>
      <c r="D11" s="26" t="n"/>
      <c r="E11" s="26" t="n"/>
      <c r="F11" s="26" t="n"/>
      <c r="G11" s="26">
        <f>IF(B11="SL","SL","")</f>
        <v/>
      </c>
      <c r="H11" s="24" t="n"/>
      <c r="I11" s="28">
        <f>IFERROR(IF(SUM(C11:G11)&gt;24,"إجمالي &gt; 24 ساعة.",SUM(C11:G11)), "")</f>
        <v/>
      </c>
      <c r="J11" s="43" t="n"/>
    </row>
    <row r="12" ht="30" customHeight="1" s="44">
      <c r="A12" s="62" t="n"/>
      <c r="B12" s="27" t="n"/>
      <c r="C12" s="11" t="n"/>
      <c r="D12" s="27" t="n"/>
      <c r="E12" s="29" t="n"/>
      <c r="F12" s="34" t="n"/>
      <c r="G12" s="29">
        <f>IF(B12="SL","SL","")</f>
        <v/>
      </c>
      <c r="H12" s="30" t="n"/>
      <c r="I12" s="34">
        <f>IFERROR(IF(SUM(C12:G12)&gt;24,"إجمالي &gt; 24 ساعة.",SUM(C12:G12)), "")</f>
        <v/>
      </c>
      <c r="J12" s="43" t="n"/>
    </row>
    <row r="13" ht="30" customHeight="1" s="44">
      <c r="A13" s="62" t="n"/>
      <c r="B13" s="26" t="n"/>
      <c r="C13" s="26" t="n"/>
      <c r="D13" s="26" t="n"/>
      <c r="E13" s="26" t="n"/>
      <c r="F13" s="26" t="n"/>
      <c r="G13" s="26">
        <f>IF(B13="SL","SL","")</f>
        <v/>
      </c>
      <c r="H13" s="24" t="n"/>
      <c r="I13" s="28">
        <f>IFERROR(IF(SUM(C13:G13)&gt;24,"إجمالي &gt; 24 ساعة.",SUM(C13:G13)), "")</f>
        <v/>
      </c>
      <c r="J13" s="43" t="n"/>
    </row>
    <row r="14" ht="30" customHeight="1" s="44">
      <c r="A14" s="62" t="n"/>
      <c r="B14" s="27" t="n"/>
      <c r="C14" s="11" t="n"/>
      <c r="D14" s="27" t="n"/>
      <c r="E14" s="34" t="n"/>
      <c r="F14" s="34" t="n"/>
      <c r="G14" s="29">
        <f>IF(B14="SL","SL","")</f>
        <v/>
      </c>
      <c r="H14" s="30" t="n"/>
      <c r="I14" s="34">
        <f>IFERROR(IF(SUM(C14:G14)&gt;24,"إجمالي &gt; 24 ساعة.",SUM(C14:G14)), "")</f>
        <v/>
      </c>
      <c r="J14" s="43" t="n"/>
    </row>
    <row r="15" ht="30" customHeight="1" s="44">
      <c r="A15" s="61" t="n"/>
      <c r="B15" s="26" t="n"/>
      <c r="C15" s="26" t="n"/>
      <c r="D15" s="26" t="n"/>
      <c r="E15" s="26" t="n"/>
      <c r="F15" s="26" t="n"/>
      <c r="G15" s="26">
        <f>IF(B15="SL","SL","")</f>
        <v/>
      </c>
      <c r="H15" s="24" t="n"/>
      <c r="I15" s="28">
        <f>IFERROR(IF(SUM(C15:G15)&gt;24,"إجمالي &gt; 24 ساعة.",SUM(C15:G15)), "")</f>
        <v/>
      </c>
      <c r="J15" s="43" t="n"/>
    </row>
    <row r="16" ht="30" customHeight="1" s="44">
      <c r="A16" s="62" t="n"/>
      <c r="B16" s="27" t="n"/>
      <c r="C16" s="11" t="n"/>
      <c r="D16" s="27" t="n"/>
      <c r="E16" s="34" t="n"/>
      <c r="F16" s="34" t="n"/>
      <c r="G16" s="29">
        <f>IF(B16="SL","SL","")</f>
        <v/>
      </c>
      <c r="H16" s="30" t="n"/>
      <c r="I16" s="34">
        <f>IFERROR(IF(SUM(C16:G16)&gt;24,"إجمالي &gt; 24 ساعة.",SUM(C16:G16)), "")</f>
        <v/>
      </c>
      <c r="J16" s="43" t="n"/>
    </row>
    <row r="17" ht="30" customHeight="1" s="44">
      <c r="A17" s="61" t="n"/>
      <c r="B17" s="26" t="n"/>
      <c r="C17" s="26" t="n"/>
      <c r="D17" s="26" t="n"/>
      <c r="E17" s="26" t="n"/>
      <c r="F17" s="26" t="n"/>
      <c r="G17" s="26">
        <f>IF(B17="SL","SL","")</f>
        <v/>
      </c>
      <c r="H17" s="24" t="n"/>
      <c r="I17" s="28">
        <f>IFERROR(IF(SUM(C17:G17)&gt;24,"إجمالي &gt; 24 ساعة.",SUM(C17:G17)), "")</f>
        <v/>
      </c>
      <c r="J17" s="43" t="n"/>
    </row>
    <row r="18" ht="30" customHeight="1" s="44">
      <c r="A18" s="62" t="n"/>
      <c r="B18" s="27" t="n"/>
      <c r="C18" s="11" t="n"/>
      <c r="D18" s="27" t="n"/>
      <c r="E18" s="34" t="n"/>
      <c r="F18" s="34" t="n"/>
      <c r="G18" s="29">
        <f>IF(B18="SL","SL","")</f>
        <v/>
      </c>
      <c r="H18" s="30" t="n"/>
      <c r="I18" s="34">
        <f>IFERROR(IF(SUM(C18:G18)&gt;24,"إجمالي &gt; 24 ساعة.",SUM(C18:G18)), "")</f>
        <v/>
      </c>
      <c r="J18" s="43" t="n"/>
    </row>
    <row r="19" ht="30" customHeight="1" s="44">
      <c r="A19" s="61" t="n"/>
      <c r="B19" s="26" t="n"/>
      <c r="C19" s="26" t="n"/>
      <c r="D19" s="26" t="n"/>
      <c r="E19" s="26" t="n"/>
      <c r="F19" s="26" t="n"/>
      <c r="G19" s="26">
        <f>IF(B19="SL","SL","")</f>
        <v/>
      </c>
      <c r="H19" s="24" t="n"/>
      <c r="I19" s="28">
        <f>IFERROR(IF(SUM(C19:G19)&gt;24,"إجمالي &gt; 24 ساعة.",SUM(C19:G19)), "")</f>
        <v/>
      </c>
      <c r="J19" s="43" t="n"/>
    </row>
    <row r="20" ht="30" customHeight="1" s="44">
      <c r="A20" s="62" t="n"/>
      <c r="B20" s="27" t="n"/>
      <c r="C20" s="11" t="n"/>
      <c r="D20" s="27" t="n"/>
      <c r="E20" s="34" t="n"/>
      <c r="F20" s="34" t="n"/>
      <c r="G20" s="29">
        <f>IF(B20="SL","SL","")</f>
        <v/>
      </c>
      <c r="H20" s="30" t="n"/>
      <c r="I20" s="34">
        <f>IFERROR(IF(SUM(C20:G20)&gt;24,"إجمالي &gt; 24 ساعة.",SUM(C20:G20)), "")</f>
        <v/>
      </c>
      <c r="J20" s="43" t="n"/>
    </row>
    <row r="21" ht="30" customHeight="1" s="44">
      <c r="A21" s="61" t="n"/>
      <c r="B21" s="26" t="n"/>
      <c r="C21" s="26" t="n"/>
      <c r="D21" s="26" t="n"/>
      <c r="E21" s="26" t="n"/>
      <c r="F21" s="26" t="n"/>
      <c r="G21" s="26">
        <f>IF(B21="SL","SL","")</f>
        <v/>
      </c>
      <c r="H21" s="24" t="n"/>
      <c r="I21" s="28">
        <f>IFERROR(IF(SUM(C21:G21)&gt;24,"إجمالي &gt; 24 ساعة.",SUM(C21:G21)), "")</f>
        <v/>
      </c>
      <c r="J21" s="43" t="n"/>
    </row>
    <row r="22" ht="30" customHeight="1" s="44">
      <c r="A22" s="62" t="n"/>
      <c r="B22" s="27" t="n"/>
      <c r="C22" s="11" t="n"/>
      <c r="D22" s="27" t="n"/>
      <c r="E22" s="34" t="n"/>
      <c r="F22" s="34" t="n"/>
      <c r="G22" s="29">
        <f>IF(B21="SL","SL","")</f>
        <v/>
      </c>
      <c r="H22" s="30" t="n"/>
      <c r="I22" s="34">
        <f>IFERROR(IF(SUM(C21:G21)&gt;24,"إجمالي &gt; 24 ساعة.",SUM(C21:G21)), "")</f>
        <v/>
      </c>
      <c r="J22" s="43" t="n"/>
    </row>
    <row r="23" ht="30" customHeight="1" s="44">
      <c r="A23" s="61" t="n"/>
      <c r="B23" s="26" t="n"/>
      <c r="C23" s="26" t="n"/>
      <c r="D23" s="26" t="n"/>
      <c r="E23" s="26" t="n"/>
      <c r="F23" s="26" t="n"/>
      <c r="G23" s="26">
        <f>IF(B23="SL","SL","")</f>
        <v/>
      </c>
      <c r="H23" s="24" t="n"/>
      <c r="I23" s="28">
        <f>IFERROR(IF(SUM(C23:G23)&gt;24,"إجمالي &gt; 24 ساعة.",SUM(C23:G23)), "")</f>
        <v/>
      </c>
      <c r="J23" s="43" t="n"/>
    </row>
    <row r="24" ht="30" customHeight="1" s="44">
      <c r="A24" s="62" t="n"/>
      <c r="B24" s="27" t="n"/>
      <c r="C24" s="11" t="n"/>
      <c r="D24" s="27" t="n"/>
      <c r="E24" s="34" t="n"/>
      <c r="F24" s="34" t="n"/>
      <c r="G24" s="29">
        <f>IF(B24="SL","SL","")</f>
        <v/>
      </c>
      <c r="H24" s="30" t="n"/>
      <c r="I24" s="34">
        <f>IFERROR(IF(SUM(C24:G24)&gt;24,"إجمالي &gt; 24 ساعة.",SUM(C24:G24)), "")</f>
        <v/>
      </c>
      <c r="J24" s="43" t="n"/>
    </row>
    <row r="25" ht="30" customHeight="1" s="44">
      <c r="A25" s="61" t="n"/>
      <c r="B25" s="26" t="n"/>
      <c r="C25" s="26" t="n"/>
      <c r="D25" s="26" t="n"/>
      <c r="E25" s="26" t="n"/>
      <c r="F25" s="26" t="n"/>
      <c r="G25" s="26">
        <f>IF(B25="SL","SL","")</f>
        <v/>
      </c>
      <c r="H25" s="24" t="n"/>
      <c r="I25" s="28">
        <f>IFERROR(IF(SUM(C25:G25)&gt;24,"إجمالي &gt; 24 ساعة.",SUM(C25:G25)), "")</f>
        <v/>
      </c>
      <c r="J25" s="43" t="n"/>
    </row>
    <row r="26" ht="30" customHeight="1" s="44">
      <c r="A26" s="62" t="n"/>
      <c r="B26" s="27" t="n"/>
      <c r="C26" s="11" t="n"/>
      <c r="D26" s="27" t="n"/>
      <c r="E26" s="34" t="n"/>
      <c r="F26" s="34" t="n"/>
      <c r="G26" s="29">
        <f>IF(B26="SL","SL","")</f>
        <v/>
      </c>
      <c r="H26" s="30" t="n"/>
      <c r="I26" s="34">
        <f>IFERROR(IF(SUM(C26:G26)&gt;24,"إجمالي &gt; 24 ساعة.",SUM(C26:G26)), "")</f>
        <v/>
      </c>
      <c r="J26" s="43" t="n"/>
    </row>
    <row r="27" ht="30" customHeight="1" s="44">
      <c r="A27" s="61" t="n"/>
      <c r="B27" s="26" t="n"/>
      <c r="C27" s="26" t="n"/>
      <c r="D27" s="26" t="n"/>
      <c r="E27" s="26" t="n"/>
      <c r="F27" s="26" t="n"/>
      <c r="G27" s="26">
        <f>IF(B27="SL","SL","")</f>
        <v/>
      </c>
      <c r="H27" s="24" t="n"/>
      <c r="I27" s="28">
        <f>IFERROR(IF(SUM(C27:G27)&gt;24,"إجمالي &gt; 24 ساعة.",SUM(C27:G27)), "")</f>
        <v/>
      </c>
      <c r="J27" s="43" t="n"/>
    </row>
    <row r="28" ht="30" customHeight="1" s="44">
      <c r="A28" s="62" t="n"/>
      <c r="B28" s="27" t="n"/>
      <c r="C28" s="11" t="n"/>
      <c r="D28" s="27" t="n"/>
      <c r="E28" s="34" t="n"/>
      <c r="F28" s="34" t="n"/>
      <c r="G28" s="29">
        <f>IF(B28="SL","SL","")</f>
        <v/>
      </c>
      <c r="H28" s="30" t="n"/>
      <c r="I28" s="34">
        <f>IFERROR(IF(SUM(C28:G28)&gt;24,"إجمالي &gt; 24 ساعة.",SUM(C28:G28)), "")</f>
        <v/>
      </c>
      <c r="J28" s="43" t="n"/>
    </row>
    <row r="29" ht="30" customHeight="1" s="44">
      <c r="A29" s="61" t="n"/>
      <c r="B29" s="26" t="n"/>
      <c r="C29" s="26" t="n"/>
      <c r="D29" s="26" t="n"/>
      <c r="E29" s="26" t="n"/>
      <c r="F29" s="26" t="n"/>
      <c r="G29" s="26">
        <f>IF(B29="SL","SL","")</f>
        <v/>
      </c>
      <c r="H29" s="24" t="n"/>
      <c r="I29" s="28">
        <f>IFERROR(IF(SUM(C29:G29)&gt;24,"إجمالي &gt; 24 ساعة.",SUM(C29:G29)), "")</f>
        <v/>
      </c>
      <c r="J29" s="43" t="n"/>
    </row>
    <row r="30" ht="30" customHeight="1" s="44">
      <c r="A30" s="62" t="n"/>
      <c r="B30" s="27" t="n"/>
      <c r="C30" s="11" t="n"/>
      <c r="D30" s="27" t="n"/>
      <c r="E30" s="34" t="n"/>
      <c r="F30" s="34" t="n"/>
      <c r="G30" s="29">
        <f>IF(B30="SL","SL","")</f>
        <v/>
      </c>
      <c r="H30" s="30" t="n"/>
      <c r="I30" s="34">
        <f>IFERROR(IF(SUM(C30:G30)&gt;24,"إجمالي &gt; 24 ساعة.",SUM(C30:G30)), "")</f>
        <v/>
      </c>
      <c r="J30" s="43" t="n"/>
    </row>
    <row r="31" ht="30" customHeight="1" s="44">
      <c r="A31" s="61" t="n"/>
      <c r="B31" s="26" t="n"/>
      <c r="C31" s="26" t="n"/>
      <c r="D31" s="26" t="n"/>
      <c r="E31" s="26" t="n"/>
      <c r="F31" s="26" t="n"/>
      <c r="G31" s="26">
        <f>IF(B31="SL","SL","")</f>
        <v/>
      </c>
      <c r="H31" s="24" t="n"/>
      <c r="I31" s="28">
        <f>IFERROR(IF(SUM(C31:G31)&gt;24,"إجمالي &gt; 24 ساعة.",SUM(C31:G31)), "")</f>
        <v/>
      </c>
      <c r="J31" s="43" t="n"/>
    </row>
    <row r="32" ht="30" customHeight="1" s="44">
      <c r="A32" s="62" t="n"/>
      <c r="B32" s="27" t="n"/>
      <c r="C32" s="11" t="n"/>
      <c r="D32" s="27" t="n"/>
      <c r="E32" s="34" t="n"/>
      <c r="F32" s="34" t="n"/>
      <c r="G32" s="29">
        <f>IF(B32="SL","SL","")</f>
        <v/>
      </c>
      <c r="H32" s="30" t="n"/>
      <c r="I32" s="34">
        <f>IFERROR(IF(SUM(C32:G32)&gt;24,"إجمالي &gt; 24 ساعة.",SUM(C32:G32)), "")</f>
        <v/>
      </c>
      <c r="J32" s="43" t="n"/>
    </row>
    <row r="33" ht="30" customHeight="1" s="44">
      <c r="A33" s="61" t="n"/>
      <c r="B33" s="26" t="n"/>
      <c r="C33" s="26" t="n"/>
      <c r="D33" s="26" t="n"/>
      <c r="E33" s="26" t="n"/>
      <c r="F33" s="26" t="n"/>
      <c r="G33" s="26">
        <f>IF(B33="SL","SL","")</f>
        <v/>
      </c>
      <c r="H33" s="24" t="n"/>
      <c r="I33" s="28">
        <f>IFERROR(IF(SUM(C33:G33)&gt;24,"إجمالي &gt; 24 ساعة.",SUM(C33:G33)), "")</f>
        <v/>
      </c>
      <c r="J33" s="43" t="n"/>
    </row>
    <row r="34" ht="30" customHeight="1" s="44">
      <c r="A34" s="62" t="n"/>
      <c r="B34" s="31" t="n"/>
      <c r="C34" s="11" t="n"/>
      <c r="D34" s="34" t="n"/>
      <c r="E34" s="34" t="n"/>
      <c r="F34" s="34" t="n"/>
      <c r="G34" s="29">
        <f>IF(B34="SL","SL","")</f>
        <v/>
      </c>
      <c r="H34" s="30" t="n"/>
      <c r="I34" s="34">
        <f>IFERROR(IF(SUM(C34:G34)&gt;24,"إجمالي &gt; 24 ساعة.",SUM(C34:G34)), "")</f>
        <v/>
      </c>
      <c r="J34" s="43" t="n"/>
    </row>
    <row r="35" ht="30" customHeight="1" s="44">
      <c r="A35" s="61" t="n"/>
      <c r="B35" s="26" t="n"/>
      <c r="C35" s="26" t="n"/>
      <c r="D35" s="26" t="n"/>
      <c r="E35" s="26" t="n"/>
      <c r="F35" s="26" t="n"/>
      <c r="G35" s="26">
        <f>IF(B35="SL","SL","")</f>
        <v/>
      </c>
      <c r="H35" s="24" t="n"/>
      <c r="I35" s="28">
        <f>IFERROR(IF(SUM(C35:G35)&gt;24,"إجمالي &gt; 24 ساعة.",SUM(C35:G35)), "")</f>
        <v/>
      </c>
      <c r="J35" s="43" t="n"/>
    </row>
    <row r="36" ht="30" customHeight="1" s="44">
      <c r="A36" s="62" t="n"/>
      <c r="B36" s="31" t="n"/>
      <c r="C36" s="11" t="n"/>
      <c r="D36" s="34" t="n"/>
      <c r="E36" s="34" t="n"/>
      <c r="F36" s="34" t="n"/>
      <c r="G36" s="29" t="n"/>
      <c r="H36" s="30" t="n"/>
      <c r="I36" s="34">
        <f>IFERROR(IF(SUM(C36:G36)&gt;24,"إجمالي &gt; 24 ساعة.",SUM(C36:G36)), "")</f>
        <v/>
      </c>
      <c r="J36" s="43" t="n"/>
    </row>
    <row r="37" ht="30" customHeight="1" s="44">
      <c r="A37" s="61" t="n"/>
      <c r="B37" s="26" t="n"/>
      <c r="C37" s="26" t="n"/>
      <c r="D37" s="26" t="n"/>
      <c r="E37" s="26" t="n"/>
      <c r="F37" s="26" t="n"/>
      <c r="G37" s="26" t="n"/>
      <c r="H37" s="24" t="n"/>
      <c r="I37" s="28">
        <f>IFERROR(IF(SUM(C37:G37)&gt;24,"إجمالي &gt; 24 ساعة.",SUM(C37:G37)), "")</f>
        <v/>
      </c>
      <c r="J37" s="43" t="n"/>
    </row>
    <row r="38" ht="30" customHeight="1" s="44">
      <c r="A38" s="54" t="inlineStr">
        <is>
          <t>إجمالي عدد الساعات :</t>
        </is>
      </c>
      <c r="B38" s="50" t="n"/>
      <c r="C38" s="12">
        <f>SUM(C7:C37) -  (COUNTIF(B7:B37, "AWO") * 8)</f>
        <v/>
      </c>
      <c r="D38" s="32">
        <f>IFERROR(SUM(D7:D37), "")</f>
        <v/>
      </c>
      <c r="E38" s="32">
        <f>IFERROR(SUM(E7:E37), "")</f>
        <v/>
      </c>
      <c r="F38" s="32">
        <f>IFERROR(SUM(F7:F37), "")</f>
        <v/>
      </c>
      <c r="G38" s="13" t="n"/>
      <c r="H38" s="63" t="n"/>
      <c r="I38" s="32" t="inlineStr">
        <is>
          <t>الملاحظات :</t>
        </is>
      </c>
    </row>
    <row r="39" ht="30" customHeight="1" s="44">
      <c r="A39" s="54" t="inlineStr">
        <is>
          <t>إجمالي عدد ايام الدوام :</t>
        </is>
      </c>
      <c r="B39" s="50" t="n"/>
      <c r="C39" s="14">
        <f>COUNTIF(B7:B37, "P") + COUNTIF(B7:B37, "W") + COUNTIF(B7:B37, "H") + COUNTIF(B7:B37, "A") + COUNTIF(B7:B37, "AWO")-C40</f>
        <v/>
      </c>
      <c r="D39" s="14" t="n"/>
      <c r="E39" s="14" t="n"/>
      <c r="F39" s="14" t="n"/>
      <c r="G39" s="35" t="inlineStr">
        <is>
          <t>الاجازات المرضية</t>
        </is>
      </c>
      <c r="H39" s="36">
        <f>COUNTIF(B7:B37,"sl")</f>
        <v/>
      </c>
      <c r="I39" s="46">
        <f>COUNTIFS(G7:G37, "SL", G7:G37, "&lt;=3")</f>
        <v/>
      </c>
    </row>
    <row r="40" ht="37.2" customHeight="1" s="44">
      <c r="A40" s="54" t="inlineStr">
        <is>
          <t>إجمالي عدد ايام الغياب :</t>
        </is>
      </c>
      <c r="B40" s="50" t="n"/>
      <c r="C40" s="14">
        <f>COUNTIF(B7:B37,"A")+COUNTIF(B7:B37,"AWO")*2</f>
        <v/>
      </c>
      <c r="D40" s="14" t="n"/>
      <c r="E40" s="14" t="n"/>
      <c r="F40" s="14" t="n"/>
      <c r="G40" s="33" t="inlineStr">
        <is>
          <t>قيمة الخصم الاضافي</t>
        </is>
      </c>
      <c r="H40" s="64" t="n">
        <v>0</v>
      </c>
      <c r="I40" s="47" t="n"/>
    </row>
    <row r="41" ht="37.2" customHeight="1" s="44">
      <c r="A41" s="54" t="inlineStr">
        <is>
          <t>قيمة الخصم :</t>
        </is>
      </c>
      <c r="B41" s="50" t="n"/>
      <c r="C41" s="65">
        <f>COUNTIF(B7:B37,"AWO") * 2 * I3 +COUNTIF(B7:B37, "A") * I3</f>
        <v/>
      </c>
      <c r="D41" s="14" t="n"/>
      <c r="E41" s="14" t="n"/>
      <c r="F41" s="15" t="n"/>
      <c r="G41" s="35" t="inlineStr">
        <is>
          <t>مجموع الخصم :</t>
        </is>
      </c>
      <c r="H41" s="64">
        <f>SUM(C41+H40)</f>
        <v/>
      </c>
      <c r="I41" s="48" t="n"/>
    </row>
    <row r="42" ht="37.2" customHeight="1" s="44">
      <c r="A42" s="54" t="inlineStr">
        <is>
          <t>إجمالي الأجر بعد الخصم :</t>
        </is>
      </c>
      <c r="B42" s="50" t="n"/>
      <c r="C42" s="16">
        <f>IF(F4&lt;&gt;"", I2/(DAY(EOMONTH(F2,0))*8)*C38, "")</f>
        <v/>
      </c>
      <c r="D42" s="16">
        <f>IFERROR(I2/(DAY(EOMONTH(F2,0))*8)*1.25*D38, "")</f>
        <v/>
      </c>
      <c r="E42" s="16">
        <f>IFERROR(I2/(DAY(EOMONTH(F2,0))*8)*1.5*E38, "")</f>
        <v/>
      </c>
      <c r="F42" s="16">
        <f>IFERROR(I2/(DAY(EOMONTH(F2,0))*8)*2.5*F38, "")</f>
        <v/>
      </c>
      <c r="G42" s="66" t="inlineStr">
        <is>
          <t>: الإجمالي</t>
        </is>
      </c>
      <c r="H42" s="50" t="n"/>
      <c r="I42" s="67">
        <f>IFERROR(SUM(C42:F42), "") - H40</f>
        <v/>
      </c>
    </row>
    <row r="43" ht="34.2" customHeight="1" s="44">
      <c r="A43" s="17" t="inlineStr">
        <is>
          <t xml:space="preserve">التاريخ : </t>
        </is>
      </c>
      <c r="B43" s="20">
        <f>TODAY()</f>
        <v/>
      </c>
      <c r="C43" s="21" t="n"/>
      <c r="D43" s="22" t="inlineStr">
        <is>
          <t xml:space="preserve">توقيع الموظف : </t>
        </is>
      </c>
      <c r="E43" s="22" t="n"/>
      <c r="F43" s="22" t="n"/>
      <c r="G43" s="23" t="inlineStr">
        <is>
          <t xml:space="preserve">توقيع المدير : </t>
        </is>
      </c>
      <c r="H43" s="18" t="n"/>
      <c r="I43" s="18" t="n"/>
    </row>
    <row r="44">
      <c r="A44" s="19" t="n"/>
      <c r="B44" s="19" t="n"/>
      <c r="C44" s="19" t="n"/>
      <c r="D44" s="19" t="n"/>
      <c r="E44" s="19" t="n"/>
      <c r="F44" s="19" t="n"/>
      <c r="G44" s="19" t="n"/>
      <c r="H44" s="19" t="n"/>
      <c r="I44" s="19" t="n"/>
    </row>
    <row r="45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conditionalFormatting sqref="B34 B36">
    <cfRule type="expression" priority="1" dxfId="1">
      <formula>$B34="SL"</formula>
    </cfRule>
    <cfRule type="expression" priority="2" dxfId="0">
      <formula>$B34="W"</formula>
    </cfRule>
  </conditionalFormatting>
  <dataValidations disablePrompts="1" count="11">
    <dataValidation sqref="D34:D37" showDropDown="0" showInputMessage="1" showErrorMessage="1" allowBlank="0" type="custom">
      <formula1>IF($C34&lt;&gt;"",TRUE,FALSE)</formula1>
    </dataValidation>
    <dataValidation sqref="D42" showDropDown="0" showInputMessage="1" showErrorMessage="1" allowBlank="0" prompt="هذه الخلية مخصصة لعرض مجموع اجر عمل الساعات الاضافية_x000a_"/>
    <dataValidation sqref="A39:A42" showDropDown="0" showInputMessage="1" showErrorMessage="1" allowBlank="0" prompt="أدخل قيمة الأجر في الساعة في الخلايا إلى اليمين"/>
    <dataValidation sqref="B6" showDropDown="0" showInputMessage="1" showErrorMessage="1" allowBlank="0" prompt="يتم تحديث التاريخ تلقائياً في هذا العمود أسفل هذا العنوان بناءً على تاريخ انتهاء الأسبوع في الخلية C6"/>
    <dataValidation sqref="C6" showDropDown="0" showInputMessage="1" showErrorMessage="1" allowBlank="0" prompt="أدخل &quot;ساعات العمل العادية&quot; في هذا العمود أسفل هذا العنوان"/>
    <dataValidation sqref="D6" showDropDown="0" showInputMessage="1" showErrorMessage="1" allowBlank="0" prompt="أدخل ساعات العمل الإضافي في هذا العمود ضمن هذا العنوان"/>
    <dataValidation sqref="G6" showDropDown="0" showInputMessage="1" showErrorMessage="1" allowBlank="0" prompt="أدخل ساعات الإجازات المرضية في هذا العمود أسفل هذا العنوان"/>
    <dataValidation sqref="E4 E6 H2:H3" showDropDown="0" showInputMessage="1" showErrorMessage="1" allowBlank="0" prompt="أدخل &quot;ساعات العطلات&quot; في هذا العمود أسفل هذا العنوان"/>
    <dataValidation sqref="H6:I6" showDropDown="0" showInputMessage="1" showErrorMessage="1" allowBlank="0" prompt="يتم حساب إجمالي ساعات العمل لكل يوم تلقائياً في هذا العمود أسفل هذا العنوان"/>
    <dataValidation sqref="A38" showDropDown="0" showInputMessage="1" showErrorMessage="1" allowBlank="0" prompt="يتم حساب إجمالي الساعات للفترة بأكملها تلقائياً في الخلايا إلى اليسار"/>
    <dataValidation sqref="A42" showDropDown="0" showInputMessage="1" showErrorMessage="1" allowBlank="0" prompt="يتم حساب إجمالي الأجر تلقائياً في الخلايا إلى اليسار"/>
  </dataValidations>
  <printOptions horizontalCentered="1" verticalCentered="1"/>
  <pageMargins left="0.25" right="0.25" top="0.75" bottom="0.75" header="0.3" footer="0.3"/>
  <pageSetup orientation="portrait" paperSize="9" scale="52" horizontalDpi="429496729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4500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عجب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 xml:space="preserve">I bring material for  alkarama  also  we start painting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we painting  in alkarama company in villa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 xml:space="preserve">we go Alain  we changed lights also kitchen mixer. some another maintenance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 3hrs + Al Karama Complex 5hrs</t>
        </is>
      </c>
      <c r="I11" s="28">
        <f>IFERROR(IF(SUM(C11:G11)&gt;24,"إجمالي &gt; 24 ساعة.",SUM(C11:G11)), "")</f>
        <v/>
      </c>
      <c r="J11" s="70" t="inlineStr">
        <is>
          <t xml:space="preserve">we make  washing machine in farm also paint 🫟 work in alkarama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 2hrs + Al Karama Complex 6hrs</t>
        </is>
      </c>
      <c r="I12" s="34">
        <f>IFERROR(IF(SUM(C12:G12)&gt;24,"إجمالي &gt; 24 ساعة.",SUM(C12:G12)), "")</f>
        <v/>
      </c>
      <c r="J12" s="70" t="inlineStr">
        <is>
          <t>Ac work in Alsaada. also painting work in alkarama 1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M38_P107 5hrs + Al Shahama complex 3hrs</t>
        </is>
      </c>
      <c r="I13" s="28">
        <f>IFERROR(IF(SUM(C13:G13)&gt;24,"إجمالي &gt; 24 ساعة.",SUM(C13:G13)), "")</f>
        <v/>
      </c>
      <c r="J13" s="70" t="inlineStr">
        <is>
          <t>we fix washing in farm villa . also we chak water leaking in 107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 4hrs + Home`s Mr.Abdullah 4hrs</t>
        </is>
      </c>
      <c r="I15" s="28">
        <f>IFERROR(IF(SUM(C15:G15)&gt;24,"إجمالي &gt; 24 ساعة.",SUM(C15:G15)), "")</f>
        <v/>
      </c>
      <c r="J15" s="70" t="inlineStr">
        <is>
          <t>painting work in alkarama 1. also 130 villa  doors work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 4hrs + Al Saada Complex 4hrs</t>
        </is>
      </c>
      <c r="I16" s="34">
        <f>IFERROR(IF(SUM(C16:G16)&gt;24,"إجمالي &gt; 24 ساعة.",SUM(C16:G16)), "")</f>
        <v/>
      </c>
      <c r="J16" s="70" t="inlineStr">
        <is>
          <t>I fix water problem in flat b2. also we painting in k1 villa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 3hrs + Al Karama Complex 5hrs</t>
        </is>
      </c>
      <c r="I17" s="28">
        <f>IFERROR(IF(SUM(C17:G17)&gt;24,"إجمالي &gt; 24 ساعة.",SUM(C17:G17)), "")</f>
        <v/>
      </c>
      <c r="J17" s="70" t="inlineStr">
        <is>
          <t>painting work in villa 1.also villa 5 we changed lights also door work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 5hrs + Al Shahama complex 3hrs</t>
        </is>
      </c>
      <c r="I18" s="34">
        <f>IFERROR(IF(SUM(C18:G18)&gt;24,"إجمالي &gt; 24 ساعة.",SUM(C18:G18)), "")</f>
        <v/>
      </c>
      <c r="J18" s="70" t="inlineStr">
        <is>
          <t xml:space="preserve">we make  water tank shade. also main door painting of k1.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Salam Complex 2hrs + Al Shahama complex 6hrs</t>
        </is>
      </c>
      <c r="I19" s="28">
        <f>IFERROR(IF(SUM(C19:G19)&gt;24,"إجمالي &gt; 24 ساعة.",SUM(C19:G19)), "")</f>
        <v/>
      </c>
      <c r="J19" s="70" t="inlineStr">
        <is>
          <t>I bring for Shaban fridge. also we painting in flat 1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 2hrs + Al Karama Complex 6hrs</t>
        </is>
      </c>
      <c r="I20" s="34">
        <f>IFERROR(IF(SUM(C20:G20)&gt;24,"إجمالي &gt; 24 ساعة.",SUM(C20:G20)), "")</f>
        <v/>
      </c>
      <c r="J20" s="70" t="inlineStr">
        <is>
          <t xml:space="preserve">in Alsaada we fix windows 🪟 net in d8 flat. also alkaram we move crap in arbab home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I bring sand and cement for door of Alsaada also we open old doors accessories.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 6hrs + Home`s Mr.Abdullah 2hrs</t>
        </is>
      </c>
      <c r="I23" s="28">
        <f>IFERROR(IF(SUM(C23:G23)&gt;24,"إجمالي &gt; 24 ساعة.",SUM(C23:G23)), "")</f>
        <v/>
      </c>
      <c r="J23" s="70" t="inlineStr">
        <is>
          <t>we make Alsaada gate  level. also in 130 villa kitchen cabinet work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 5hrs + Al Karama Complex 3hrs</t>
        </is>
      </c>
      <c r="I24" s="34">
        <f>IFERROR(IF(SUM(C24:G24)&gt;24,"إجمالي &gt; 24 ساعة.",SUM(C24:G24)), "")</f>
        <v/>
      </c>
      <c r="J24" s="70" t="inlineStr">
        <is>
          <t xml:space="preserve">I bring material for alkarama 5 villa also we fix water pump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7</v>
      </c>
      <c r="D25" s="68" t="n"/>
      <c r="E25" s="68" t="n"/>
      <c r="F25" s="68" t="n"/>
      <c r="G25" s="26">
        <f>IF(B25="SL","SL","")</f>
        <v/>
      </c>
      <c r="H25" s="69" t="inlineStr">
        <is>
          <t>Al Saada Complex 8hrs + Al Karama Complex -1hrs</t>
        </is>
      </c>
      <c r="I25" s="28">
        <f>IFERROR(IF(SUM(C25:G25)&gt;24,"إجمالي &gt; 24 ساعة.",SUM(C25:G25)), "")</f>
        <v/>
      </c>
      <c r="J25" s="70" t="inlineStr">
        <is>
          <t>Weekend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 3hrs + Al Saada Complex 5hrs</t>
        </is>
      </c>
      <c r="I26" s="34">
        <f>IFERROR(IF(SUM(C26:G26)&gt;24,"إجمالي &gt; 24 ساعة.",SUM(C26:G26)), "")</f>
        <v/>
      </c>
      <c r="J26" s="70" t="inlineStr">
        <is>
          <t xml:space="preserve">I drop 2 person for worke in p72. also Alsaada we make pipe in e1 flat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 5hrs + Masjid Al Karama 3hrs</t>
        </is>
      </c>
      <c r="I27" s="28">
        <f>IFERROR(IF(SUM(C27:G27)&gt;24,"إجمالي &gt; 24 ساعة.",SUM(C27:G27)), "")</f>
        <v/>
      </c>
      <c r="J27" s="70" t="inlineStr">
        <is>
          <t>for alsàada gate mains people come. they fix. also we cheak Masjid ac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 4hrs + Al Saada Complex 4hrs</t>
        </is>
      </c>
      <c r="I29" s="28">
        <f>IFERROR(IF(SUM(C29:G29)&gt;24,"إجمالي &gt; 24 ساعة.",SUM(C29:G29)), "")</f>
        <v/>
      </c>
      <c r="J29" s="70" t="inlineStr">
        <is>
          <t xml:space="preserve">we make store wall also Ac service In b1 flat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 5hrs + Farm 826 3hrs</t>
        </is>
      </c>
      <c r="I30" s="34">
        <f>IFERROR(IF(SUM(C30:G30)&gt;24,"إجمالي &gt; 24 ساعة.",SUM(C30:G30)), "")</f>
        <v/>
      </c>
      <c r="J30" s="70" t="inlineStr">
        <is>
          <t xml:space="preserve">I give things for farm. also we Ac work 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 6hrs + Al Karama Complex 2hrs</t>
        </is>
      </c>
      <c r="I31" s="28">
        <f>IFERROR(IF(SUM(C31:G31)&gt;24,"إجمالي &gt; 24 ساعة.",SUM(C31:G31)), "")</f>
        <v/>
      </c>
      <c r="J31" s="70" t="inlineStr">
        <is>
          <t xml:space="preserve">I drop tow person In p72. also I arranged breaker for  Mazzrah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Abo-Abdullah-Villa 3hrs + Saqia 72 2hrs + Al Karama Complex 3hrs</t>
        </is>
      </c>
      <c r="I32" s="34">
        <f>IFERROR(IF(SUM(C32:G32)&gt;24,"إجمالي &gt; 24 ساعة.",SUM(C32:G32)), "")</f>
        <v/>
      </c>
      <c r="J32" s="70" t="inlineStr">
        <is>
          <t xml:space="preserve">in Alsaqia 72 I drop tow person. Baba home electric work. k5 villa kitchen cabinet work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Masjid Al Karama 6hrs + Saqia 72 2hrs</t>
        </is>
      </c>
      <c r="I33" s="28">
        <f>IFERROR(IF(SUM(C33:G33)&gt;24,"إجمالي &gt; 24 ساعة.",SUM(C33:G33)), "")</f>
        <v/>
      </c>
      <c r="J33" s="70" t="inlineStr">
        <is>
          <t xml:space="preserve">I drop 2 person for light fitting. also we changed lights in masjid alkarama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I drop 2 person for light fitting. also we changed lights in masjid alkarama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2000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حفيظ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 karama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 7hrs + Al Saada Complex 1hrs</t>
        </is>
      </c>
      <c r="I10" s="34">
        <f>IFERROR(IF(SUM(C10:G10)&gt;24,"إجمالي &gt; 24 ساعة.",SUM(C10:G10)), "")</f>
        <v/>
      </c>
      <c r="J10" s="70" t="inlineStr">
        <is>
          <t>he changed water heater in C5. also painting work in  Karma 1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painting work  in alkarama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>
        <v>2</v>
      </c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Ac work d5. also alkarama 1 painting work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>
        <v>4</v>
      </c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>ac work. also door man work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>
        <v>3</v>
      </c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. also he open and  close for people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7</v>
      </c>
      <c r="D15" s="68" t="n">
        <v>1</v>
      </c>
      <c r="E15" s="68" t="n"/>
      <c r="F15" s="68" t="n"/>
      <c r="G15" s="26">
        <f>IF(B15="SL","SL","")</f>
        <v/>
      </c>
      <c r="H15" s="69" t="inlineStr">
        <is>
          <t>Al Karama Complex 8hrs + Saqia 72 -1hrs</t>
        </is>
      </c>
      <c r="I15" s="28">
        <f>IFERROR(IF(SUM(C15:G15)&gt;24,"إجمالي &gt; 24 ساعة.",SUM(C15:G15)), "")</f>
        <v/>
      </c>
      <c r="J15" s="70" t="inlineStr">
        <is>
          <t xml:space="preserve">alkarama villa 1  painting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painting work in flat a2. also give water to plant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>he watching door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he work  is a door man ..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>he work is a door man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he  work is a door man. </t>
        </is>
      </c>
    </row>
    <row r="21" ht="32" customHeight="1" s="44">
      <c r="A21" s="61" t="n">
        <v>46068</v>
      </c>
      <c r="B21" s="68" t="inlineStr">
        <is>
          <t>P</t>
        </is>
      </c>
      <c r="C21" s="68" t="n">
        <v>8</v>
      </c>
      <c r="D21" s="68" t="n">
        <v>4</v>
      </c>
      <c r="E21" s="68" t="n"/>
      <c r="F21" s="68" t="n"/>
      <c r="G21" s="26">
        <f>IF(B21="SL","SL","")</f>
        <v/>
      </c>
      <c r="H21" s="69" t="inlineStr">
        <is>
          <t>Al Saada Complex</t>
        </is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4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>he fix water heater in flat b1. also some doors work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Alsaada gate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ge give water to plant.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 xml:space="preserve">he work is Watchmen.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inlineStr">
        <is>
          <t xml:space="preserve">he work with Jumma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Masjid Al Karama</t>
        </is>
      </c>
      <c r="I27" s="28">
        <f>IFERROR(IF(SUM(C27:G27)&gt;24,"إجمالي &gt; 24 ساعة.",SUM(C27:G27)), "")</f>
        <v/>
      </c>
      <c r="J27" s="70" t="inlineStr">
        <is>
          <t>ha cheak Masjid ac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Ac work. flat b1.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Ac work in villa e 4.d1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inlineStr">
        <is>
          <t xml:space="preserve">he work with Jumma for electric work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inlineStr">
        <is>
          <t xml:space="preserve">electric work in p72 store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inlineStr">
        <is>
          <t>he fix light in p72 with jumma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>he fix light in p72 with jumma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شمس الرحمن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Shahama complex</t>
        </is>
      </c>
      <c r="I7" s="28">
        <f>IFERROR(IF(SUM(C7:G7)&gt;24,"إجمالي &gt; 24 ساعة.",SUM(C7:G7)), "")</f>
        <v/>
      </c>
      <c r="J7" s="70" t="inlineStr">
        <is>
          <t>Weekly off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Shahama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Shahama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Salam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Shahama complex</t>
        </is>
      </c>
      <c r="I11" s="28">
        <f>IFERROR(IF(SUM(C11:G11)&gt;24,"إجمالي &gt; 24 ساعة.",SUM(C11:G11)), "")</f>
        <v/>
      </c>
      <c r="J11" s="70" t="inlineStr">
        <is>
          <t>cleaning work in villa also  washing machine make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Farm 826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Farm 826</t>
        </is>
      </c>
      <c r="I13" s="28">
        <f>IFERROR(IF(SUM(C13:G13)&gt;24,"إجمالي &gt; 24 ساعة.",SUM(C13:G13)), "")</f>
        <v/>
      </c>
      <c r="J13" s="70" t="inlineStr">
        <is>
          <t>Cleaning work in villa  also fix washbisan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Farm 826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Shahama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Shahama complex</t>
        </is>
      </c>
      <c r="I16" s="34">
        <f>IFERROR(IF(SUM(C16:G16)&gt;24,"إجمالي &gt; 24 ساعة.",SUM(C16:G16)), "")</f>
        <v/>
      </c>
      <c r="J16" s="70" t="inlineStr">
        <is>
          <t xml:space="preserve">Cleaning work in villa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Shahama complex</t>
        </is>
      </c>
      <c r="I17" s="28">
        <f>IFERROR(IF(SUM(C17:G17)&gt;24,"إجمالي &gt; 24 ساعة.",SUM(C17:G17)), "")</f>
        <v/>
      </c>
      <c r="J17" s="70" t="inlineStr">
        <is>
          <t>Cleaning work in villa also. Ac service in flat 0.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Shahama complex</t>
        </is>
      </c>
      <c r="I18" s="34">
        <f>IFERROR(IF(SUM(C18:G18)&gt;24,"إجمالي &gt; 24 ساعة.",SUM(C18:G18)), "")</f>
        <v/>
      </c>
      <c r="J18" s="70" t="inlineStr">
        <is>
          <t>he service  Ac of  flat 0+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 xml:space="preserve">painting and  cleaning work in villa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Shahama complex</t>
        </is>
      </c>
      <c r="I20" s="34">
        <f>IFERROR(IF(SUM(C20:G20)&gt;24,"إجمالي &gt; 24 ساعة.",SUM(C20:G20)), "")</f>
        <v/>
      </c>
      <c r="J20" s="70" t="inlineStr">
        <is>
          <t>Cleaning work in villa . also Ac work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Shahama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Shahama complex</t>
        </is>
      </c>
      <c r="I23" s="28">
        <f>IFERROR(IF(SUM(C23:G23)&gt;24,"إجمالي &gt; 24 ساعة.",SUM(C23:G23)), "")</f>
        <v/>
      </c>
      <c r="J23" s="70" t="inlineStr">
        <is>
          <t xml:space="preserve">Cleaning work in villa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Shahama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Shahama complex</t>
        </is>
      </c>
      <c r="I25" s="28">
        <f>IFERROR(IF(SUM(C25:G25)&gt;24,"إجمالي &gt; 24 ساعة.",SUM(C25:G25)), "")</f>
        <v/>
      </c>
      <c r="J25" s="70" t="inlineStr">
        <is>
          <t xml:space="preserve">Cleaning work in villa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Shahama complex</t>
        </is>
      </c>
      <c r="I26" s="34">
        <f>IFERROR(IF(SUM(C26:G26)&gt;24,"إجمالي &gt; 24 ساعة.",SUM(C26:G26)), "")</f>
        <v/>
      </c>
      <c r="J26" s="70" t="inlineStr">
        <is>
          <t xml:space="preserve">Ac work in flat 1. also  some lights change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Shahama complex</t>
        </is>
      </c>
      <c r="I27" s="28">
        <f>IFERROR(IF(SUM(C27:G27)&gt;24,"إجمالي &gt; 24 ساعة.",SUM(C27:G27)), "")</f>
        <v/>
      </c>
      <c r="J27" s="70" t="inlineStr">
        <is>
          <t>he service  Ac of flat 5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Shahama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Shahama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Shahama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Shahama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Shahama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Shahama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Shahama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رحمت الله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Salam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in. alkarama villa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he changed lights also  cabinet work in alfoha  villa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he change light in  alkarma villa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>painting work in alkarama 1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Saqia 20 5hrs + Farm 826 3hrs</t>
        </is>
      </c>
      <c r="I13" s="28">
        <f>IFERROR(IF(SUM(C13:G13)&gt;24,"إجمالي &gt; 24 ساعة.",SUM(C13:G13)), "")</f>
        <v/>
      </c>
      <c r="J13" s="70" t="inlineStr">
        <is>
          <t>Ac work also washbisan fix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Salam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alkarama villa 1  painting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 xml:space="preserve">today he work is watch man in compound 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in  krama  1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also  painting work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Shahama complex</t>
        </is>
      </c>
      <c r="I19" s="28">
        <f>IFERROR(IF(SUM(C19:G19)&gt;24,"إجمالي &gt; 24 ساعة.",SUM(C19:G19)), "")</f>
        <v/>
      </c>
      <c r="J19" s="70" t="inlineStr">
        <is>
          <t>painting work in flat 1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>
        <v>1</v>
      </c>
      <c r="E20" s="74" t="n"/>
      <c r="F20" s="74" t="n"/>
      <c r="G20" s="29">
        <f>IF(B20="SL","SL","")</f>
        <v/>
      </c>
      <c r="H20" s="75" t="inlineStr">
        <is>
          <t>Al Salam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. also some  cement work. door repair main gate handle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he open Alsaada main gate.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 xml:space="preserve">he make  level for main gate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Salam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Salam Complex</t>
        </is>
      </c>
      <c r="I25" s="28">
        <f>IFERROR(IF(SUM(C25:G25)&gt;24,"إجمالي &gt; 24 ساعة.",SUM(C25:G25)), "")</f>
        <v/>
      </c>
      <c r="J25" s="70" t="inlineStr">
        <is>
          <t xml:space="preserve">Cleaning work in villa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Salam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Salam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salam villa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Al Salam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Salam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Salam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Salam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Karama Complex 4hrs + Home`s Mr.Abdullah 4hrs</t>
        </is>
      </c>
      <c r="I32" s="34">
        <f>IFERROR(IF(SUM(C32:G32)&gt;24,"إجمالي &gt; 24 ساعة.",SUM(C32:G32)), "")</f>
        <v/>
      </c>
      <c r="J32" s="70" t="inlineStr">
        <is>
          <t xml:space="preserve">electric work in Baba home. krama 5 kitchen cabinet work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Masjid Al Karama 6hrs + Al Salam Complex 2hrs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salam. Masjid he fix light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Salam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salam. Masjid he fix light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1200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نداء الله محمد ايوب خان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>Weekly off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 xml:space="preserve">painting work in  alkarama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>painting work in alkarama 1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he painting  work in alkarama 1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 in villa . also painting work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 xml:space="preserve">painting work in villa 1 alkarama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M38_P107</t>
        </is>
      </c>
      <c r="I13" s="28">
        <f>IFERROR(IF(SUM(C13:G13)&gt;24,"إجمالي &gt; 24 ساعة.",SUM(C13:G13)), "")</f>
        <v/>
      </c>
      <c r="J13" s="70" t="inlineStr">
        <is>
          <t xml:space="preserve">water lake cheak in 107 building 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>Weekly off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Karama Complex</t>
        </is>
      </c>
      <c r="I15" s="28">
        <f>IFERROR(IF(SUM(C15:G15)&gt;24,"إجمالي &gt; 24 ساعة.",SUM(C15:G15)), "")</f>
        <v/>
      </c>
      <c r="J15" s="70" t="inlineStr">
        <is>
          <t>painting work in villa 1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>painting work in flat a2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also. lights worke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</t>
        </is>
      </c>
      <c r="I18" s="34">
        <f>IFERROR(IF(SUM(C18:G18)&gt;24,"إجمالي &gt; 24 ساعة.",SUM(C18:G18)), "")</f>
        <v/>
      </c>
      <c r="J18" s="70" t="inlineStr">
        <is>
          <t>he painting main door. of villa 1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. and painting work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Cleaning work in villa .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>he work of door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Al Saada Complex 6hrs + Home`s Mr.Abdullah 2hrs</t>
        </is>
      </c>
      <c r="I23" s="28">
        <f>IFERROR(IF(SUM(C23:G23)&gt;24,"إجمالي &gt; 24 ساعة.",SUM(C23:G23)), "")</f>
        <v/>
      </c>
      <c r="J23" s="70" t="inlineStr">
        <is>
          <t xml:space="preserve">Alsaada gate work. also 130 villa kitchen cabinet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he work is Watchmen bin Alsaada compound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 xml:space="preserve">he fixed door  locke access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Saqia 72</t>
        </is>
      </c>
      <c r="I26" s="34">
        <f>IFERROR(IF(SUM(C26:G26)&gt;24,"إجمالي &gt; 24 ساعة.",SUM(C26:G26)), "")</f>
        <v/>
      </c>
      <c r="J26" s="70" t="inlineStr">
        <is>
          <t>he work with Jumma for wiring work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Masjid Al Karama</t>
        </is>
      </c>
      <c r="I27" s="28">
        <f>IFERROR(IF(SUM(C27:G27)&gt;24,"إجمالي &gt; 24 ساعة.",SUM(C27:G27)), "")</f>
        <v/>
      </c>
      <c r="J27" s="70" t="inlineStr">
        <is>
          <t>he chak Ac with hafiz in alkarama masjid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Home`s Mr.Abdullah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</t>
        </is>
      </c>
      <c r="I29" s="28">
        <f>IFERROR(IF(SUM(C29:G29)&gt;24,"إجمالي &gt; 24 ساعة.",SUM(C29:G29)), "")</f>
        <v/>
      </c>
      <c r="J29" s="70" t="inlineStr">
        <is>
          <t>Cleaning work in villa  also repair work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 xml:space="preserve">he painting in alkarama. store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Saqia 72</t>
        </is>
      </c>
      <c r="I31" s="28">
        <f>IFERROR(IF(SUM(C31:G31)&gt;24,"إجمالي &gt; 24 ساعة.",SUM(C31:G31)), "")</f>
        <v/>
      </c>
      <c r="J31" s="70" t="inlineStr">
        <is>
          <t xml:space="preserve">he work  with Jumma  for lights fixing </t>
        </is>
      </c>
    </row>
    <row r="32" ht="32" customHeight="1" s="44">
      <c r="A32" s="62" t="n">
        <v>46079</v>
      </c>
      <c r="B32" s="71" t="inlineStr">
        <is>
          <t>A</t>
        </is>
      </c>
      <c r="C32" s="72" t="n"/>
      <c r="D32" s="71" t="n"/>
      <c r="E32" s="74" t="n"/>
      <c r="F32" s="74" t="n"/>
      <c r="G32" s="29">
        <f>IF(B32="SL","SL","")</f>
        <v/>
      </c>
      <c r="H32" s="75" t="n">
        <v/>
      </c>
      <c r="I32" s="34">
        <f>IFERROR(IF(SUM(C32:G32)&gt;24,"إجمالي &gt; 24 ساعة.",SUM(C32:G32)), "")</f>
        <v/>
      </c>
      <c r="J32" s="70" t="inlineStr">
        <is>
          <t xml:space="preserve">he go mussafha for family members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Saqia 72</t>
        </is>
      </c>
      <c r="I33" s="28">
        <f>IFERROR(IF(SUM(C33:G33)&gt;24,"إجمالي &gt; 24 ساعة.",SUM(C33:G33)), "")</f>
        <v/>
      </c>
      <c r="J33" s="70" t="inlineStr">
        <is>
          <t>he fix light in p72 with jumma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Karama Complex</t>
        </is>
      </c>
      <c r="I34" s="34">
        <f>IFERROR(IF(SUM(C34:G34)&gt;24,"إجمالي &gt; 24 ساعة.",SUM(C34:G34)), "")</f>
        <v/>
      </c>
      <c r="J34" s="70" t="inlineStr">
        <is>
          <t>he fix light in p72 with jumma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1500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بلال خان سعيد رحمن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Home`s Mr.Abdullah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Karama Complex</t>
        </is>
      </c>
      <c r="I8" s="34">
        <f>IFERROR(IF(SUM(C8:G8)&gt;24,"إجمالي &gt; 24 ساعة.",SUM(C8:G8)), "")</f>
        <v/>
      </c>
      <c r="J8" s="70" t="inlineStr">
        <is>
          <t>painting work in alkarama 1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Karama Complex</t>
        </is>
      </c>
      <c r="I9" s="28">
        <f>IFERROR(IF(SUM(C9:G9)&gt;24,"إجمالي &gt; 24 ساعة.",SUM(C9:G9)), "")</f>
        <v/>
      </c>
      <c r="J9" s="70" t="inlineStr">
        <is>
          <t xml:space="preserve">painting work in  villa k1.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Karama Complex</t>
        </is>
      </c>
      <c r="I10" s="34">
        <f>IFERROR(IF(SUM(C10:G10)&gt;24,"إجمالي &gt; 24 ساعة.",SUM(C10:G10)), "")</f>
        <v/>
      </c>
      <c r="J10" s="70" t="inlineStr">
        <is>
          <t>painting work in Alkarama 1. also he changed door handle villa 5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Karama Complex</t>
        </is>
      </c>
      <c r="I11" s="28">
        <f>IFERROR(IF(SUM(C11:G11)&gt;24,"إجمالي &gt; 24 ساعة.",SUM(C11:G11)), "")</f>
        <v/>
      </c>
      <c r="J11" s="70" t="inlineStr">
        <is>
          <t>he make water pipe. also  light change in villa 1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Karama Complex</t>
        </is>
      </c>
      <c r="I12" s="34">
        <f>IFERROR(IF(SUM(C12:G12)&gt;24,"إجمالي &gt; 24 ساعة.",SUM(C12:G12)), "")</f>
        <v/>
      </c>
      <c r="J12" s="70" t="inlineStr">
        <is>
          <t>Ciramic fix in villa 1 karama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Karama Complex</t>
        </is>
      </c>
      <c r="I13" s="28">
        <f>IFERROR(IF(SUM(C13:G13)&gt;24,"إجمالي &gt; 24 ساعة.",SUM(C13:G13)), "")</f>
        <v/>
      </c>
      <c r="J13" s="70" t="inlineStr">
        <is>
          <t xml:space="preserve">water pump change also cleaning work </t>
        </is>
      </c>
    </row>
    <row r="14" ht="32" customHeight="1" s="44">
      <c r="A14" s="62" t="n">
        <v>46061</v>
      </c>
      <c r="B14" s="71" t="inlineStr">
        <is>
          <t>W</t>
        </is>
      </c>
      <c r="C14" s="72" t="n">
        <v>8</v>
      </c>
      <c r="D14" s="71" t="n"/>
      <c r="E14" s="74" t="n">
        <v>1</v>
      </c>
      <c r="F14" s="74" t="n"/>
      <c r="G14" s="29">
        <f>IF(B14="SL","SL","")</f>
        <v/>
      </c>
      <c r="H14" s="75" t="inlineStr">
        <is>
          <t>Home`s Mr.Abdullah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Home`s Mr.Abdullah</t>
        </is>
      </c>
      <c r="I15" s="28">
        <f>IFERROR(IF(SUM(C15:G15)&gt;24,"إجمالي &gt; 24 ساعة.",SUM(C15:G15)), "")</f>
        <v/>
      </c>
      <c r="J15" s="70" t="inlineStr">
        <is>
          <t xml:space="preserve">doors work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Karama Complex</t>
        </is>
      </c>
      <c r="I16" s="34">
        <f>IFERROR(IF(SUM(C16:G16)&gt;24,"إجمالي &gt; 24 ساعة.",SUM(C16:G16)), "")</f>
        <v/>
      </c>
      <c r="J16" s="70" t="inlineStr">
        <is>
          <t>painting work in villa 1.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>
        <v>2</v>
      </c>
      <c r="E17" s="68" t="n"/>
      <c r="F17" s="68" t="n"/>
      <c r="G17" s="26">
        <f>IF(B17="SL","SL","")</f>
        <v/>
      </c>
      <c r="H17" s="69" t="inlineStr">
        <is>
          <t>Al Karama Complex</t>
        </is>
      </c>
      <c r="I17" s="28">
        <f>IFERROR(IF(SUM(C17:G17)&gt;24,"إجمالي &gt; 24 ساعة.",SUM(C17:G17)), "")</f>
        <v/>
      </c>
      <c r="J17" s="70" t="inlineStr">
        <is>
          <t>painting work in villa 1.villa 5 light work also door work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Karama Complex 5hrs + Home`s Mr.Abdullah 3hrs</t>
        </is>
      </c>
      <c r="I18" s="34">
        <f>IFERROR(IF(SUM(C18:G18)&gt;24,"إجمالي &gt; 24 ساعة.",SUM(C18:G18)), "")</f>
        <v/>
      </c>
      <c r="J18" s="70" t="inlineStr">
        <is>
          <t>he make. sun shade on water tankin villa alkarama 1.also 128villa water leakage cheak up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>
        <v>1</v>
      </c>
      <c r="E19" s="68" t="n"/>
      <c r="F19" s="68" t="n"/>
      <c r="G19" s="26">
        <f>IF(B19="SL","SL","")</f>
        <v/>
      </c>
      <c r="H19" s="69" t="inlineStr">
        <is>
          <t>Al Karama Complex</t>
        </is>
      </c>
      <c r="I19" s="28">
        <f>IFERROR(IF(SUM(C19:G19)&gt;24,"إجمالي &gt; 24 ساعة.",SUM(C19:G19)), "")</f>
        <v/>
      </c>
      <c r="J19" s="70" t="inlineStr">
        <is>
          <t>painting work  . water pump work. water leaking work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Karama Complex</t>
        </is>
      </c>
      <c r="I20" s="34">
        <f>IFERROR(IF(SUM(C20:G20)&gt;24,"إجمالي &gt; 24 ساعة.",SUM(C20:G20)), "")</f>
        <v/>
      </c>
      <c r="J20" s="70" t="inlineStr">
        <is>
          <t xml:space="preserve">he fixed   ventilation fan. also cleaning work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>
        <v>1</v>
      </c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he remove interlocking also fixing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>
        <v>1</v>
      </c>
      <c r="E23" s="68" t="n"/>
      <c r="F23" s="68" t="n"/>
      <c r="G23" s="26">
        <f>IF(B23="SL","SL","")</f>
        <v/>
      </c>
      <c r="H23" s="69" t="inlineStr">
        <is>
          <t>Home`s Mr.Abdullah 2hrs + Al Saada Complex 6hrs</t>
        </is>
      </c>
      <c r="I23" s="28">
        <f>IFERROR(IF(SUM(C23:G23)&gt;24,"إجمالي &gt; 24 ساعة.",SUM(C23:G23)), "")</f>
        <v/>
      </c>
      <c r="J23" s="70" t="inlineStr">
        <is>
          <t xml:space="preserve">Alsaada gate work. 130 villa  kitchen cabinet work 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Karama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Karama Complex</t>
        </is>
      </c>
      <c r="I25" s="28">
        <f>IFERROR(IF(SUM(C25:G25)&gt;24,"إجمالي &gt; 24 ساعة.",SUM(C25:G25)), "")</f>
        <v/>
      </c>
      <c r="J25" s="70" t="inlineStr">
        <is>
          <t xml:space="preserve">he give water in Alsaada. also cleaning work in alkarama 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>
        <v>3</v>
      </c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Cleaning work in villa also door man works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>
        <v>1</v>
      </c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 xml:space="preserve">Cleaning work in villa  also lights change.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>
        <v>1</v>
      </c>
      <c r="E28" s="74" t="n"/>
      <c r="F28" s="74" t="n"/>
      <c r="G28" s="29">
        <f>IF(B28="SL","SL","")</f>
        <v/>
      </c>
      <c r="H28" s="75" t="inlineStr">
        <is>
          <t>Home`s Mr.Abdullah</t>
        </is>
      </c>
      <c r="I28" s="34">
        <f>IFERROR(IF(SUM(C28:G28)&gt;24,"إجمالي &gt; 24 ساعة.",SUM(C28:G28)), "")</f>
        <v/>
      </c>
      <c r="J28" s="70" t="inlineStr">
        <is>
          <t xml:space="preserve">Weekend also cleaning work 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Karama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Karama Complex</t>
        </is>
      </c>
      <c r="I30" s="34">
        <f>IFERROR(IF(SUM(C30:G30)&gt;24,"إجمالي &gt; 24 ساعة.",SUM(C30:G30)), "")</f>
        <v/>
      </c>
      <c r="J30" s="70" t="inlineStr">
        <is>
          <t>he check water leaking in villa k4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Karama Complex</t>
        </is>
      </c>
      <c r="I31" s="28">
        <f>IFERROR(IF(SUM(C31:G31)&gt;24,"إجمالي &gt; 24 ساعة.",SUM(C31:G31)), "")</f>
        <v/>
      </c>
      <c r="J31" s="70" t="inlineStr">
        <is>
          <t>cleaning work in villA also 130 villa kitchen work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>
        <v>1</v>
      </c>
      <c r="E32" s="74" t="n"/>
      <c r="F32" s="74" t="n"/>
      <c r="G32" s="29">
        <f>IF(B32="SL","SL","")</f>
        <v/>
      </c>
      <c r="H32" s="75" t="inlineStr">
        <is>
          <t>Saqia 72</t>
        </is>
      </c>
      <c r="I32" s="34">
        <f>IFERROR(IF(SUM(C32:G32)&gt;24,"إجمالي &gt; 24 ساعة.",SUM(C32:G32)), "")</f>
        <v/>
      </c>
      <c r="J32" s="70" t="inlineStr">
        <is>
          <t>he fix light in p72 store . also he fix water issues in masjid alkarma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Masjid Al Karama</t>
        </is>
      </c>
      <c r="I33" s="28">
        <f>IFERROR(IF(SUM(C33:G33)&gt;24,"إجمالي &gt; 24 ساعة.",SUM(C33:G33)), "")</f>
        <v/>
      </c>
      <c r="J33" s="70" t="inlineStr">
        <is>
          <t xml:space="preserve">lights fix in Masjid alkarama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Karama Complex</t>
        </is>
      </c>
      <c r="I34" s="34">
        <f>IFERROR(IF(SUM(C34:G34)&gt;24,"إجمالي &gt; 24 ساعة.",SUM(C34:G34)), "")</f>
        <v/>
      </c>
      <c r="J34" s="70" t="inlineStr">
        <is>
          <t xml:space="preserve">lights fix in Masjid alkarama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P49"/>
  <sheetViews>
    <sheetView rightToLeft="1" workbookViewId="0">
      <selection activeCell="A1" sqref="A1"/>
    </sheetView>
  </sheetViews>
  <sheetFormatPr baseColWidth="8" defaultColWidth="8.77734375" defaultRowHeight="14.4"/>
  <cols>
    <col width="17.77734375" customWidth="1" style="44" min="1" max="1"/>
    <col width="18.77734375" customWidth="1" style="44" min="2" max="2"/>
    <col width="20.21875" customWidth="1" style="44" min="3" max="3"/>
    <col width="18.21875" customWidth="1" style="44" min="4" max="4"/>
    <col width="18.109375" customWidth="1" style="44" min="5" max="5"/>
    <col width="18.21875" customWidth="1" style="44" min="6" max="6"/>
    <col width="21.77734375" customWidth="1" style="44" min="7" max="7"/>
    <col width="18.21875" customWidth="1" style="44" min="8" max="9"/>
    <col width="8.77734375" customWidth="1" style="44" min="10" max="75"/>
  </cols>
  <sheetData>
    <row r="1" ht="58.8" customHeight="1" s="44">
      <c r="A1" s="59" t="n"/>
      <c r="D1" s="45" t="inlineStr">
        <is>
          <t>بطاقة عامل</t>
        </is>
      </c>
      <c r="F1" s="51" t="n"/>
    </row>
    <row r="2" ht="42.6" customHeight="1" s="44">
      <c r="D2" s="57" t="n"/>
      <c r="E2" s="1" t="inlineStr">
        <is>
          <t>بداية الشهر</t>
        </is>
      </c>
      <c r="F2" s="2" t="n">
        <v>46054</v>
      </c>
      <c r="G2" s="55" t="n"/>
      <c r="H2" s="3" t="inlineStr">
        <is>
          <t>الراتب الاساسي :</t>
        </is>
      </c>
      <c r="I2" s="4" t="inlineStr">
        <is>
          <t>1400</t>
        </is>
      </c>
    </row>
    <row r="3" ht="35.4" customHeight="1" s="44">
      <c r="E3" s="1" t="inlineStr">
        <is>
          <t>نهاية الشهر</t>
        </is>
      </c>
      <c r="F3" s="2" t="n">
        <v>46081</v>
      </c>
      <c r="G3" s="56" t="n"/>
      <c r="H3" s="3" t="inlineStr">
        <is>
          <t xml:space="preserve">الراتب اليومي : </t>
        </is>
      </c>
      <c r="I3" s="5">
        <f>I2/DAY(EOMONTH(F3, 0))</f>
        <v/>
      </c>
    </row>
    <row r="4" ht="55.2" customHeight="1" s="44">
      <c r="A4" s="1" t="inlineStr">
        <is>
          <t>اسم الموظف</t>
        </is>
      </c>
      <c r="B4" s="58" t="inlineStr">
        <is>
          <t>محمد شاهجان جازى</t>
        </is>
      </c>
      <c r="E4" s="3" t="inlineStr">
        <is>
          <t>الشهر</t>
        </is>
      </c>
      <c r="F4" s="25" t="inlineStr">
        <is>
          <t>February</t>
        </is>
      </c>
      <c r="G4" s="56" t="n"/>
      <c r="H4" s="3" t="inlineStr">
        <is>
          <t>ساعة العامل :</t>
        </is>
      </c>
      <c r="I4" s="60">
        <f>I3/8</f>
        <v/>
      </c>
    </row>
    <row r="5" ht="17.4" customHeight="1" s="44">
      <c r="A5" s="52" t="n"/>
      <c r="B5" s="53" t="n"/>
      <c r="C5" s="53" t="n"/>
      <c r="D5" s="53" t="n"/>
      <c r="E5" s="53" t="n"/>
      <c r="F5" s="53" t="n"/>
      <c r="G5" s="53" t="n"/>
      <c r="H5" s="53" t="n"/>
      <c r="I5" s="53" t="n"/>
    </row>
    <row r="6" ht="75.59999999999999" customHeight="1" s="44">
      <c r="A6" s="7" t="inlineStr">
        <is>
          <t>التاريخ</t>
        </is>
      </c>
      <c r="B6" s="8" t="inlineStr">
        <is>
          <t>الحضور</t>
        </is>
      </c>
      <c r="C6" s="8" t="inlineStr">
        <is>
          <t xml:space="preserve">ساعات العمل </t>
        </is>
      </c>
      <c r="D6" s="9" t="inlineStr">
        <is>
          <t xml:space="preserve">ساعات العمل الإضافية </t>
        </is>
      </c>
      <c r="E6" s="9" t="inlineStr">
        <is>
          <t>ساعات العمل خلال الإجازة</t>
        </is>
      </c>
      <c r="F6" s="10" t="inlineStr">
        <is>
          <t xml:space="preserve">ساعات العمل بالمناسبات الرسمية </t>
        </is>
      </c>
      <c r="G6" s="8" t="inlineStr">
        <is>
          <t>إجازة مرضية</t>
        </is>
      </c>
      <c r="H6" s="8" t="inlineStr">
        <is>
          <t>المشروع</t>
        </is>
      </c>
      <c r="I6" s="8" t="inlineStr">
        <is>
          <t>الاجمالي</t>
        </is>
      </c>
    </row>
    <row r="7" ht="32" customHeight="1" s="44">
      <c r="A7" s="61" t="n">
        <v>46054</v>
      </c>
      <c r="B7" s="68" t="inlineStr">
        <is>
          <t>W</t>
        </is>
      </c>
      <c r="C7" s="68" t="n">
        <v>8</v>
      </c>
      <c r="D7" s="68" t="n"/>
      <c r="E7" s="68" t="n"/>
      <c r="F7" s="68" t="n"/>
      <c r="G7" s="26" t="n"/>
      <c r="H7" s="69" t="inlineStr">
        <is>
          <t>Al Saada Complex</t>
        </is>
      </c>
      <c r="I7" s="28">
        <f>IFERROR(IF(SUM(C7:G7)&gt;24,"إجمالي &gt; 24 ساعة.",SUM(C7:G7)), "")</f>
        <v/>
      </c>
      <c r="J7" s="70" t="inlineStr">
        <is>
          <t xml:space="preserve">Weekly off </t>
        </is>
      </c>
    </row>
    <row r="8" ht="32" customHeight="1" s="44">
      <c r="A8" s="62" t="n">
        <v>46055</v>
      </c>
      <c r="B8" s="71" t="inlineStr">
        <is>
          <t>P</t>
        </is>
      </c>
      <c r="C8" s="72" t="n">
        <v>8</v>
      </c>
      <c r="D8" s="71" t="n"/>
      <c r="E8" s="73" t="n"/>
      <c r="F8" s="74" t="n"/>
      <c r="G8" s="29">
        <f>IF(B8="SL","SL","")</f>
        <v/>
      </c>
      <c r="H8" s="75" t="inlineStr">
        <is>
          <t>Al Saada Complex</t>
        </is>
      </c>
      <c r="I8" s="34">
        <f>IFERROR(IF(SUM(C8:G8)&gt;24,"إجمالي &gt; 24 ساعة.",SUM(C8:G8)), "")</f>
        <v/>
      </c>
      <c r="J8" s="70" t="inlineStr">
        <is>
          <t xml:space="preserve">Cleaning work in villa </t>
        </is>
      </c>
    </row>
    <row r="9" ht="32" customHeight="1" s="44">
      <c r="A9" s="61" t="n">
        <v>46056</v>
      </c>
      <c r="B9" s="68" t="inlineStr">
        <is>
          <t>P</t>
        </is>
      </c>
      <c r="C9" s="68" t="n">
        <v>8</v>
      </c>
      <c r="D9" s="68" t="n"/>
      <c r="E9" s="68" t="n"/>
      <c r="F9" s="68" t="n"/>
      <c r="G9" s="26">
        <f>IF(B9="SL","SL","")</f>
        <v/>
      </c>
      <c r="H9" s="69" t="inlineStr">
        <is>
          <t>Al Saada Complex</t>
        </is>
      </c>
      <c r="I9" s="28">
        <f>IFERROR(IF(SUM(C9:G9)&gt;24,"إجمالي &gt; 24 ساعة.",SUM(C9:G9)), "")</f>
        <v/>
      </c>
      <c r="J9" s="70" t="inlineStr">
        <is>
          <t xml:space="preserve">Cleaning work in villa </t>
        </is>
      </c>
    </row>
    <row r="10" ht="32" customHeight="1" s="44">
      <c r="A10" s="62" t="n">
        <v>46057</v>
      </c>
      <c r="B10" s="71" t="inlineStr">
        <is>
          <t>P</t>
        </is>
      </c>
      <c r="C10" s="72" t="n">
        <v>8</v>
      </c>
      <c r="D10" s="71" t="n"/>
      <c r="E10" s="73" t="n"/>
      <c r="F10" s="74" t="n"/>
      <c r="G10" s="29">
        <f>IF(B10="SL","SL","")</f>
        <v/>
      </c>
      <c r="H10" s="75" t="inlineStr">
        <is>
          <t>Al Saada Complex</t>
        </is>
      </c>
      <c r="I10" s="34">
        <f>IFERROR(IF(SUM(C10:G10)&gt;24,"إجمالي &gt; 24 ساعة.",SUM(C10:G10)), "")</f>
        <v/>
      </c>
      <c r="J10" s="70" t="inlineStr">
        <is>
          <t xml:space="preserve">Cleaning work in villa </t>
        </is>
      </c>
    </row>
    <row r="11" ht="32" customHeight="1" s="44">
      <c r="A11" s="61" t="n">
        <v>46058</v>
      </c>
      <c r="B11" s="68" t="inlineStr">
        <is>
          <t>P</t>
        </is>
      </c>
      <c r="C11" s="68" t="n">
        <v>8</v>
      </c>
      <c r="D11" s="68" t="n"/>
      <c r="E11" s="68" t="n"/>
      <c r="F11" s="68" t="n"/>
      <c r="G11" s="26">
        <f>IF(B11="SL","SL","")</f>
        <v/>
      </c>
      <c r="H11" s="69" t="inlineStr">
        <is>
          <t>Al Saada Complex</t>
        </is>
      </c>
      <c r="I11" s="28">
        <f>IFERROR(IF(SUM(C11:G11)&gt;24,"إجمالي &gt; 24 ساعة.",SUM(C11:G11)), "")</f>
        <v/>
      </c>
      <c r="J11" s="70" t="inlineStr">
        <is>
          <t xml:space="preserve">cleaning worke in  Alsaada compound </t>
        </is>
      </c>
    </row>
    <row r="12" ht="32" customHeight="1" s="44">
      <c r="A12" s="62" t="n">
        <v>46059</v>
      </c>
      <c r="B12" s="71" t="inlineStr">
        <is>
          <t>P</t>
        </is>
      </c>
      <c r="C12" s="72" t="n">
        <v>8</v>
      </c>
      <c r="D12" s="71" t="n"/>
      <c r="E12" s="73" t="n"/>
      <c r="F12" s="74" t="n"/>
      <c r="G12" s="29">
        <f>IF(B12="SL","SL","")</f>
        <v/>
      </c>
      <c r="H12" s="75" t="inlineStr">
        <is>
          <t>Al Saada Complex</t>
        </is>
      </c>
      <c r="I12" s="34">
        <f>IFERROR(IF(SUM(C12:G12)&gt;24,"إجمالي &gt; 24 ساعة.",SUM(C12:G12)), "")</f>
        <v/>
      </c>
      <c r="J12" s="70" t="inlineStr">
        <is>
          <t xml:space="preserve">Cleaning work in villa </t>
        </is>
      </c>
    </row>
    <row r="13" ht="32" customHeight="1" s="44">
      <c r="A13" s="62" t="n">
        <v>46060</v>
      </c>
      <c r="B13" s="68" t="inlineStr">
        <is>
          <t>P</t>
        </is>
      </c>
      <c r="C13" s="68" t="n">
        <v>8</v>
      </c>
      <c r="D13" s="68" t="n"/>
      <c r="E13" s="68" t="n"/>
      <c r="F13" s="68" t="n"/>
      <c r="G13" s="26">
        <f>IF(B13="SL","SL","")</f>
        <v/>
      </c>
      <c r="H13" s="69" t="inlineStr">
        <is>
          <t>Al Saada Complex</t>
        </is>
      </c>
      <c r="I13" s="28">
        <f>IFERROR(IF(SUM(C13:G13)&gt;24,"إجمالي &gt; 24 ساعة.",SUM(C13:G13)), "")</f>
        <v/>
      </c>
      <c r="J13" s="70" t="inlineStr">
        <is>
          <t xml:space="preserve">Cleaning work in villa </t>
        </is>
      </c>
    </row>
    <row r="14" ht="32" customHeight="1" s="44">
      <c r="A14" s="62" t="n">
        <v>46061</v>
      </c>
      <c r="B14" s="71" t="inlineStr">
        <is>
          <t>P</t>
        </is>
      </c>
      <c r="C14" s="72" t="n">
        <v>8</v>
      </c>
      <c r="D14" s="71" t="n"/>
      <c r="E14" s="74" t="n"/>
      <c r="F14" s="74" t="n"/>
      <c r="G14" s="29">
        <f>IF(B14="SL","SL","")</f>
        <v/>
      </c>
      <c r="H14" s="75" t="inlineStr">
        <is>
          <t>Al Saada Complex</t>
        </is>
      </c>
      <c r="I14" s="34">
        <f>IFERROR(IF(SUM(C14:G14)&gt;24,"إجمالي &gt; 24 ساعة.",SUM(C14:G14)), "")</f>
        <v/>
      </c>
      <c r="J14" s="70" t="inlineStr">
        <is>
          <t xml:space="preserve">Weekly off </t>
        </is>
      </c>
    </row>
    <row r="15" ht="32" customHeight="1" s="44">
      <c r="A15" s="61" t="n">
        <v>46062</v>
      </c>
      <c r="B15" s="68" t="inlineStr">
        <is>
          <t>P</t>
        </is>
      </c>
      <c r="C15" s="68" t="n">
        <v>8</v>
      </c>
      <c r="D15" s="68" t="n"/>
      <c r="E15" s="68" t="n"/>
      <c r="F15" s="68" t="n"/>
      <c r="G15" s="26">
        <f>IF(B15="SL","SL","")</f>
        <v/>
      </c>
      <c r="H15" s="69" t="inlineStr">
        <is>
          <t>Al Saada Complex</t>
        </is>
      </c>
      <c r="I15" s="28">
        <f>IFERROR(IF(SUM(C15:G15)&gt;24,"إجمالي &gt; 24 ساعة.",SUM(C15:G15)), "")</f>
        <v/>
      </c>
      <c r="J15" s="70" t="inlineStr">
        <is>
          <t xml:space="preserve">Cleaning work in villa </t>
        </is>
      </c>
    </row>
    <row r="16" ht="32" customHeight="1" s="44">
      <c r="A16" s="62" t="n">
        <v>46063</v>
      </c>
      <c r="B16" s="71" t="inlineStr">
        <is>
          <t>P</t>
        </is>
      </c>
      <c r="C16" s="72" t="n">
        <v>8</v>
      </c>
      <c r="D16" s="71" t="n"/>
      <c r="E16" s="74" t="n"/>
      <c r="F16" s="74" t="n"/>
      <c r="G16" s="29">
        <f>IF(B16="SL","SL","")</f>
        <v/>
      </c>
      <c r="H16" s="75" t="inlineStr">
        <is>
          <t>Al Saada Complex</t>
        </is>
      </c>
      <c r="I16" s="34">
        <f>IFERROR(IF(SUM(C16:G16)&gt;24,"إجمالي &gt; 24 ساعة.",SUM(C16:G16)), "")</f>
        <v/>
      </c>
      <c r="J16" s="70" t="inlineStr">
        <is>
          <t>he works is a door man</t>
        </is>
      </c>
    </row>
    <row r="17" ht="32" customHeight="1" s="44">
      <c r="A17" s="61" t="n">
        <v>46064</v>
      </c>
      <c r="B17" s="68" t="inlineStr">
        <is>
          <t>P</t>
        </is>
      </c>
      <c r="C17" s="68" t="n">
        <v>8</v>
      </c>
      <c r="D17" s="68" t="n"/>
      <c r="E17" s="68" t="n"/>
      <c r="F17" s="68" t="n"/>
      <c r="G17" s="26">
        <f>IF(B17="SL","SL","")</f>
        <v/>
      </c>
      <c r="H17" s="69" t="inlineStr">
        <is>
          <t>Al Saada Complex</t>
        </is>
      </c>
      <c r="I17" s="28">
        <f>IFERROR(IF(SUM(C17:G17)&gt;24,"إجمالي &gt; 24 ساعة.",SUM(C17:G17)), "")</f>
        <v/>
      </c>
      <c r="J17" s="70" t="inlineStr">
        <is>
          <t xml:space="preserve">b2 attand also door watching </t>
        </is>
      </c>
    </row>
    <row r="18" ht="32" customHeight="1" s="44">
      <c r="A18" s="62" t="n">
        <v>46065</v>
      </c>
      <c r="B18" s="71" t="inlineStr">
        <is>
          <t>P</t>
        </is>
      </c>
      <c r="C18" s="72" t="n">
        <v>8</v>
      </c>
      <c r="D18" s="71" t="n"/>
      <c r="E18" s="74" t="n"/>
      <c r="F18" s="74" t="n"/>
      <c r="G18" s="29">
        <f>IF(B18="SL","SL","")</f>
        <v/>
      </c>
      <c r="H18" s="75" t="inlineStr">
        <is>
          <t>Al Saada Complex</t>
        </is>
      </c>
      <c r="I18" s="34">
        <f>IFERROR(IF(SUM(C18:G18)&gt;24,"إجمالي &gt; 24 ساعة.",SUM(C18:G18)), "")</f>
        <v/>
      </c>
      <c r="J18" s="70" t="inlineStr">
        <is>
          <t xml:space="preserve">Cleaning work in villa also look door . </t>
        </is>
      </c>
    </row>
    <row r="19" ht="32" customHeight="1" s="44">
      <c r="A19" s="61" t="n">
        <v>46066</v>
      </c>
      <c r="B19" s="68" t="inlineStr">
        <is>
          <t>P</t>
        </is>
      </c>
      <c r="C19" s="68" t="n">
        <v>8</v>
      </c>
      <c r="D19" s="68" t="n"/>
      <c r="E19" s="68" t="n"/>
      <c r="F19" s="68" t="n"/>
      <c r="G19" s="26">
        <f>IF(B19="SL","SL","")</f>
        <v/>
      </c>
      <c r="H19" s="69" t="inlineStr">
        <is>
          <t>Al Saada Complex</t>
        </is>
      </c>
      <c r="I19" s="28">
        <f>IFERROR(IF(SUM(C19:G19)&gt;24,"إجمالي &gt; 24 ساعة.",SUM(C19:G19)), "")</f>
        <v/>
      </c>
      <c r="J19" s="70" t="inlineStr">
        <is>
          <t xml:space="preserve">Cleaning work in villa  also door looking </t>
        </is>
      </c>
    </row>
    <row r="20" ht="32" customHeight="1" s="44">
      <c r="A20" s="62" t="n">
        <v>46067</v>
      </c>
      <c r="B20" s="71" t="inlineStr">
        <is>
          <t>P</t>
        </is>
      </c>
      <c r="C20" s="72" t="n">
        <v>8</v>
      </c>
      <c r="D20" s="71" t="n"/>
      <c r="E20" s="74" t="n"/>
      <c r="F20" s="74" t="n"/>
      <c r="G20" s="29">
        <f>IF(B20="SL","SL","")</f>
        <v/>
      </c>
      <c r="H20" s="75" t="inlineStr">
        <is>
          <t>Al Saada Complex</t>
        </is>
      </c>
      <c r="I20" s="34">
        <f>IFERROR(IF(SUM(C20:G20)&gt;24,"إجمالي &gt; 24 ساعة.",SUM(C20:G20)), "")</f>
        <v/>
      </c>
      <c r="J20" s="70" t="inlineStr">
        <is>
          <t xml:space="preserve">he work at night  door man work </t>
        </is>
      </c>
    </row>
    <row r="21" ht="32" customHeight="1" s="44">
      <c r="A21" s="61" t="n">
        <v>46068</v>
      </c>
      <c r="B21" s="68" t="inlineStr">
        <is>
          <t>W</t>
        </is>
      </c>
      <c r="C21" s="68" t="n">
        <v>8</v>
      </c>
      <c r="D21" s="68" t="n"/>
      <c r="E21" s="68" t="n"/>
      <c r="F21" s="68" t="n"/>
      <c r="G21" s="26">
        <f>IF(B21="SL","SL","")</f>
        <v/>
      </c>
      <c r="H21" s="69" t="n">
        <v/>
      </c>
      <c r="I21" s="28">
        <f>IFERROR(IF(SUM(C21:G21)&gt;24,"إجمالي &gt; 24 ساعة.",SUM(C21:G21)), "")</f>
        <v/>
      </c>
      <c r="J21" s="70" t="inlineStr">
        <is>
          <t>Weekend</t>
        </is>
      </c>
    </row>
    <row r="22" ht="32" customHeight="1" s="44">
      <c r="A22" s="62" t="n">
        <v>46069</v>
      </c>
      <c r="B22" s="71" t="inlineStr">
        <is>
          <t>P</t>
        </is>
      </c>
      <c r="C22" s="72" t="n">
        <v>8</v>
      </c>
      <c r="D22" s="71" t="n"/>
      <c r="E22" s="74" t="n"/>
      <c r="F22" s="74" t="n"/>
      <c r="G22" s="29">
        <f>IF(B21="SL","SL","")</f>
        <v/>
      </c>
      <c r="H22" s="75" t="inlineStr">
        <is>
          <t>Al Saada Complex</t>
        </is>
      </c>
      <c r="I22" s="34">
        <f>IFERROR(IF(SUM(C21:G21)&gt;24,"إجمالي &gt; 24 ساعة.",SUM(C21:G21)), "")</f>
        <v/>
      </c>
      <c r="J22" s="70" t="inlineStr">
        <is>
          <t xml:space="preserve">Cleaning work in villa </t>
        </is>
      </c>
    </row>
    <row r="23" ht="32" customHeight="1" s="44">
      <c r="A23" s="61" t="n">
        <v>46070</v>
      </c>
      <c r="B23" s="68" t="inlineStr">
        <is>
          <t>P</t>
        </is>
      </c>
      <c r="C23" s="68" t="n">
        <v>8</v>
      </c>
      <c r="D23" s="68" t="n"/>
      <c r="E23" s="68" t="n"/>
      <c r="F23" s="68" t="n"/>
      <c r="G23" s="26">
        <f>IF(B23="SL","SL","")</f>
        <v/>
      </c>
      <c r="H23" s="69" t="inlineStr">
        <is>
          <t>Al Saada Complex</t>
        </is>
      </c>
      <c r="I23" s="28">
        <f>IFERROR(IF(SUM(C23:G23)&gt;24,"إجمالي &gt; 24 ساعة.",SUM(C23:G23)), "")</f>
        <v/>
      </c>
      <c r="J23" s="70" t="inlineStr">
        <is>
          <t>Watchmen  work</t>
        </is>
      </c>
    </row>
    <row r="24" ht="32" customHeight="1" s="44">
      <c r="A24" s="62" t="n">
        <v>46071</v>
      </c>
      <c r="B24" s="71" t="inlineStr">
        <is>
          <t>P</t>
        </is>
      </c>
      <c r="C24" s="72" t="n">
        <v>8</v>
      </c>
      <c r="D24" s="71" t="n"/>
      <c r="E24" s="74" t="n"/>
      <c r="F24" s="74" t="n"/>
      <c r="G24" s="29">
        <f>IF(B24="SL","SL","")</f>
        <v/>
      </c>
      <c r="H24" s="75" t="inlineStr">
        <is>
          <t>Al Saada Complex</t>
        </is>
      </c>
      <c r="I24" s="34">
        <f>IFERROR(IF(SUM(C24:G24)&gt;24,"إجمالي &gt; 24 ساعة.",SUM(C24:G24)), "")</f>
        <v/>
      </c>
      <c r="J24" s="70" t="inlineStr">
        <is>
          <t xml:space="preserve">Cleaning work in villa </t>
        </is>
      </c>
    </row>
    <row r="25" ht="32" customHeight="1" s="44">
      <c r="A25" s="61" t="n">
        <v>46072</v>
      </c>
      <c r="B25" s="68" t="inlineStr">
        <is>
          <t>P</t>
        </is>
      </c>
      <c r="C25" s="68" t="n">
        <v>8</v>
      </c>
      <c r="D25" s="68" t="n"/>
      <c r="E25" s="68" t="n"/>
      <c r="F25" s="68" t="n"/>
      <c r="G25" s="26">
        <f>IF(B25="SL","SL","")</f>
        <v/>
      </c>
      <c r="H25" s="69" t="inlineStr">
        <is>
          <t>Al Saada Complex</t>
        </is>
      </c>
      <c r="I25" s="28">
        <f>IFERROR(IF(SUM(C25:G25)&gt;24,"إجمالي &gt; 24 ساعة.",SUM(C25:G25)), "")</f>
        <v/>
      </c>
      <c r="J25" s="70" t="inlineStr">
        <is>
          <t>he  cleaning in compound also  door man work</t>
        </is>
      </c>
    </row>
    <row r="26" ht="32" customHeight="1" s="44">
      <c r="A26" s="62" t="n">
        <v>46073</v>
      </c>
      <c r="B26" s="71" t="inlineStr">
        <is>
          <t>P</t>
        </is>
      </c>
      <c r="C26" s="72" t="n">
        <v>8</v>
      </c>
      <c r="D26" s="71" t="n"/>
      <c r="E26" s="74" t="n"/>
      <c r="F26" s="74" t="n"/>
      <c r="G26" s="29">
        <f>IF(B26="SL","SL","")</f>
        <v/>
      </c>
      <c r="H26" s="75" t="inlineStr">
        <is>
          <t>Al Saada Complex</t>
        </is>
      </c>
      <c r="I26" s="34">
        <f>IFERROR(IF(SUM(C26:G26)&gt;24,"إجمالي &gt; 24 ساعة.",SUM(C26:G26)), "")</f>
        <v/>
      </c>
      <c r="J26" s="70" t="inlineStr">
        <is>
          <t xml:space="preserve">he work is a door man in compound </t>
        </is>
      </c>
    </row>
    <row r="27" ht="32" customHeight="1" s="44">
      <c r="A27" s="61" t="n">
        <v>46074</v>
      </c>
      <c r="B27" s="68" t="inlineStr">
        <is>
          <t>P</t>
        </is>
      </c>
      <c r="C27" s="68" t="n">
        <v>8</v>
      </c>
      <c r="D27" s="68" t="n"/>
      <c r="E27" s="68" t="n"/>
      <c r="F27" s="68" t="n"/>
      <c r="G27" s="26">
        <f>IF(B27="SL","SL","")</f>
        <v/>
      </c>
      <c r="H27" s="69" t="inlineStr">
        <is>
          <t>Al Saada Complex</t>
        </is>
      </c>
      <c r="I27" s="28">
        <f>IFERROR(IF(SUM(C27:G27)&gt;24,"إجمالي &gt; 24 ساعة.",SUM(C27:G27)), "")</f>
        <v/>
      </c>
      <c r="J27" s="70" t="inlineStr">
        <is>
          <t xml:space="preserve">he work is doorman work </t>
        </is>
      </c>
    </row>
    <row r="28" ht="32" customHeight="1" s="44">
      <c r="A28" s="62" t="n">
        <v>46075</v>
      </c>
      <c r="B28" s="71" t="inlineStr">
        <is>
          <t>P</t>
        </is>
      </c>
      <c r="C28" s="72" t="n">
        <v>8</v>
      </c>
      <c r="D28" s="71" t="n"/>
      <c r="E28" s="74" t="n"/>
      <c r="F28" s="74" t="n"/>
      <c r="G28" s="29">
        <f>IF(B28="SL","SL","")</f>
        <v/>
      </c>
      <c r="H28" s="75" t="inlineStr">
        <is>
          <t>Al Saada Complex</t>
        </is>
      </c>
      <c r="I28" s="34">
        <f>IFERROR(IF(SUM(C28:G28)&gt;24,"إجمالي &gt; 24 ساعة.",SUM(C28:G28)), "")</f>
        <v/>
      </c>
      <c r="J28" s="70" t="inlineStr">
        <is>
          <t>Weekend</t>
        </is>
      </c>
    </row>
    <row r="29" ht="32" customHeight="1" s="44">
      <c r="A29" s="61" t="n">
        <v>46076</v>
      </c>
      <c r="B29" s="68" t="inlineStr">
        <is>
          <t>P</t>
        </is>
      </c>
      <c r="C29" s="68" t="n">
        <v>8</v>
      </c>
      <c r="D29" s="68" t="n"/>
      <c r="E29" s="68" t="n"/>
      <c r="F29" s="68" t="n"/>
      <c r="G29" s="26">
        <f>IF(B29="SL","SL","")</f>
        <v/>
      </c>
      <c r="H29" s="69" t="inlineStr">
        <is>
          <t>Al Saada Complex</t>
        </is>
      </c>
      <c r="I29" s="28">
        <f>IFERROR(IF(SUM(C29:G29)&gt;24,"إجمالي &gt; 24 ساعة.",SUM(C29:G29)), "")</f>
        <v/>
      </c>
      <c r="J29" s="70" t="inlineStr">
        <is>
          <t xml:space="preserve">Cleaning work in villa . a. and d stair case cleaning </t>
        </is>
      </c>
    </row>
    <row r="30" ht="32" customHeight="1" s="44">
      <c r="A30" s="62" t="n">
        <v>46077</v>
      </c>
      <c r="B30" s="71" t="inlineStr">
        <is>
          <t>P</t>
        </is>
      </c>
      <c r="C30" s="72" t="n">
        <v>8</v>
      </c>
      <c r="D30" s="71" t="n"/>
      <c r="E30" s="74" t="n"/>
      <c r="F30" s="74" t="n"/>
      <c r="G30" s="29">
        <f>IF(B30="SL","SL","")</f>
        <v/>
      </c>
      <c r="H30" s="75" t="inlineStr">
        <is>
          <t>Al Saada Complex</t>
        </is>
      </c>
      <c r="I30" s="34">
        <f>IFERROR(IF(SUM(C30:G30)&gt;24,"إجمالي &gt; 24 ساعة.",SUM(C30:G30)), "")</f>
        <v/>
      </c>
      <c r="J30" s="70" t="inlineStr">
        <is>
          <t xml:space="preserve">Cleaning work in villa </t>
        </is>
      </c>
    </row>
    <row r="31" ht="32" customHeight="1" s="44">
      <c r="A31" s="61" t="n">
        <v>46078</v>
      </c>
      <c r="B31" s="68" t="inlineStr">
        <is>
          <t>P</t>
        </is>
      </c>
      <c r="C31" s="68" t="n">
        <v>8</v>
      </c>
      <c r="D31" s="68" t="n"/>
      <c r="E31" s="68" t="n"/>
      <c r="F31" s="68" t="n"/>
      <c r="G31" s="26">
        <f>IF(B31="SL","SL","")</f>
        <v/>
      </c>
      <c r="H31" s="69" t="inlineStr">
        <is>
          <t>Al Saada Complex</t>
        </is>
      </c>
      <c r="I31" s="28">
        <f>IFERROR(IF(SUM(C31:G31)&gt;24,"إجمالي &gt; 24 ساعة.",SUM(C31:G31)), "")</f>
        <v/>
      </c>
      <c r="J31" s="70" t="inlineStr">
        <is>
          <t xml:space="preserve">Cleaning work in villa </t>
        </is>
      </c>
    </row>
    <row r="32" ht="32" customHeight="1" s="44">
      <c r="A32" s="62" t="n">
        <v>46079</v>
      </c>
      <c r="B32" s="71" t="inlineStr">
        <is>
          <t>P</t>
        </is>
      </c>
      <c r="C32" s="72" t="n">
        <v>8</v>
      </c>
      <c r="D32" s="71" t="n"/>
      <c r="E32" s="74" t="n"/>
      <c r="F32" s="74" t="n"/>
      <c r="G32" s="29">
        <f>IF(B32="SL","SL","")</f>
        <v/>
      </c>
      <c r="H32" s="75" t="inlineStr">
        <is>
          <t>Al Saada Complex</t>
        </is>
      </c>
      <c r="I32" s="34">
        <f>IFERROR(IF(SUM(C32:G32)&gt;24,"إجمالي &gt; 24 ساعة.",SUM(C32:G32)), "")</f>
        <v/>
      </c>
      <c r="J32" s="70" t="inlineStr">
        <is>
          <t xml:space="preserve">Cleaning work in villa </t>
        </is>
      </c>
    </row>
    <row r="33" ht="32" customHeight="1" s="44">
      <c r="A33" s="61" t="n">
        <v>46080</v>
      </c>
      <c r="B33" s="68" t="inlineStr">
        <is>
          <t>P</t>
        </is>
      </c>
      <c r="C33" s="68" t="n">
        <v>8</v>
      </c>
      <c r="D33" s="68" t="n"/>
      <c r="E33" s="68" t="n"/>
      <c r="F33" s="68" t="n"/>
      <c r="G33" s="26">
        <f>IF(B33="SL","SL","")</f>
        <v/>
      </c>
      <c r="H33" s="69" t="inlineStr">
        <is>
          <t>Al Saada Complex</t>
        </is>
      </c>
      <c r="I33" s="28">
        <f>IFERROR(IF(SUM(C33:G33)&gt;24,"إجمالي &gt; 24 ساعة.",SUM(C33:G33)), "")</f>
        <v/>
      </c>
      <c r="J33" s="70" t="inlineStr">
        <is>
          <t xml:space="preserve">Cleaning work in villa also give water to plant </t>
        </is>
      </c>
    </row>
    <row r="34" ht="32" customHeight="1" s="44">
      <c r="A34" s="62" t="n">
        <v>46081</v>
      </c>
      <c r="B34" s="76" t="inlineStr">
        <is>
          <t>P</t>
        </is>
      </c>
      <c r="C34" s="72" t="n">
        <v>8</v>
      </c>
      <c r="D34" s="74" t="n"/>
      <c r="E34" s="74" t="n"/>
      <c r="F34" s="74" t="n"/>
      <c r="G34" s="29">
        <f>IF(B34="SL","SL","")</f>
        <v/>
      </c>
      <c r="H34" s="75" t="inlineStr">
        <is>
          <t>Al Saada Complex</t>
        </is>
      </c>
      <c r="I34" s="34">
        <f>IFERROR(IF(SUM(C34:G34)&gt;24,"إجمالي &gt; 24 ساعة.",SUM(C34:G34)), "")</f>
        <v/>
      </c>
      <c r="J34" s="70" t="inlineStr">
        <is>
          <t xml:space="preserve">Cleaning work in villa also give water to plant </t>
        </is>
      </c>
    </row>
    <row r="35" ht="30" customHeight="1" s="44">
      <c r="A35" s="61" t="n"/>
      <c r="B35" s="68" t="n"/>
      <c r="C35" s="68" t="n"/>
      <c r="D35" s="68" t="n"/>
      <c r="E35" s="68" t="n"/>
      <c r="F35" s="68" t="n"/>
      <c r="G35" s="26">
        <f>IF(B35="SL","SL","")</f>
        <v/>
      </c>
      <c r="H35" s="69" t="n"/>
      <c r="I35" s="28">
        <f>IFERROR(IF(SUM(C35:G35)&gt;24,"إجمالي &gt; 24 ساعة.",SUM(C35:G35)), "")</f>
        <v/>
      </c>
      <c r="J35" s="77" t="n"/>
    </row>
    <row r="36" ht="30" customHeight="1" s="44">
      <c r="A36" s="62" t="n"/>
      <c r="B36" s="76" t="n"/>
      <c r="C36" s="72" t="n"/>
      <c r="D36" s="74" t="n"/>
      <c r="E36" s="74" t="n"/>
      <c r="F36" s="74" t="n"/>
      <c r="G36" s="29" t="n"/>
      <c r="H36" s="75" t="n"/>
      <c r="I36" s="34">
        <f>IFERROR(IF(SUM(C36:G36)&gt;24,"إجمالي &gt; 24 ساعة.",SUM(C36:G36)), "")</f>
        <v/>
      </c>
      <c r="J36" s="77" t="n"/>
    </row>
    <row r="37" ht="30" customHeight="1" s="44">
      <c r="A37" s="61" t="n"/>
      <c r="B37" s="68" t="n"/>
      <c r="C37" s="68" t="n"/>
      <c r="D37" s="68" t="n"/>
      <c r="E37" s="68" t="n"/>
      <c r="F37" s="68" t="n"/>
      <c r="G37" s="26" t="n"/>
      <c r="H37" s="69" t="n"/>
      <c r="I37" s="28">
        <f>IFERROR(IF(SUM(C37:G37)&gt;24,"إجمالي &gt; 24 ساعة.",SUM(C37:G37)), "")</f>
        <v/>
      </c>
      <c r="J37" s="77" t="n"/>
    </row>
    <row r="38" ht="30" customHeight="1" s="44">
      <c r="A38" s="54" t="inlineStr">
        <is>
          <t>إجمالي عدد الساعات :</t>
        </is>
      </c>
      <c r="B38" s="78" t="n"/>
      <c r="C38" s="79">
        <f>SUM(C7:C37) -  (COUNTIF(B7:B37, "AWO") * 8)</f>
        <v/>
      </c>
      <c r="D38" s="80">
        <f>IFERROR(SUM(D7:D37), "")</f>
        <v/>
      </c>
      <c r="E38" s="80">
        <f>IFERROR(SUM(E7:E37), "")</f>
        <v/>
      </c>
      <c r="F38" s="80">
        <f>IFERROR(SUM(F7:F37), "")</f>
        <v/>
      </c>
      <c r="G38" s="13" t="n"/>
      <c r="H38" s="81" t="n"/>
      <c r="I38" s="32" t="inlineStr">
        <is>
          <t>الملاحظات :</t>
        </is>
      </c>
      <c r="J38" s="82" t="n"/>
    </row>
    <row r="39" ht="30" customHeight="1" s="44">
      <c r="A39" s="54" t="inlineStr">
        <is>
          <t>إجمالي عدد ايام الدوام :</t>
        </is>
      </c>
      <c r="B39" s="78" t="n"/>
      <c r="C39" s="83">
        <f>COUNTIF(B7:B37, "P") + COUNTIF(B7:B37, "W") + COUNTIF(B7:B37, "H") + COUNTIF(B7:B37, "A") + COUNTIF(B7:B37, "AWO")-C40</f>
        <v/>
      </c>
      <c r="D39" s="83" t="n"/>
      <c r="E39" s="83" t="n"/>
      <c r="F39" s="83" t="n"/>
      <c r="G39" s="35" t="inlineStr">
        <is>
          <t>الاجازات المرضية</t>
        </is>
      </c>
      <c r="H39" s="84">
        <f>COUNTIF(B7:B37,"sl")</f>
        <v/>
      </c>
      <c r="I39" s="46">
        <f>COUNTIFS(G7:G37, "SL", G7:G37, "&lt;=3")</f>
        <v/>
      </c>
      <c r="J39" s="82" t="n"/>
    </row>
    <row r="40" ht="37.2" customHeight="1" s="44">
      <c r="A40" s="54" t="inlineStr">
        <is>
          <t>إجمالي عدد ايام الغياب :</t>
        </is>
      </c>
      <c r="B40" s="78" t="n"/>
      <c r="C40" s="83">
        <f>COUNTIF(B7:B37,"A")+COUNTIF(B7:B37,"AWO")*2</f>
        <v/>
      </c>
      <c r="D40" s="83" t="n"/>
      <c r="E40" s="83" t="n"/>
      <c r="F40" s="83" t="n"/>
      <c r="G40" s="33" t="inlineStr">
        <is>
          <t>قيمة الخصم الاضافي</t>
        </is>
      </c>
      <c r="H40" s="85" t="n">
        <v>0</v>
      </c>
      <c r="I40" s="47" t="n"/>
      <c r="J40" s="82" t="n"/>
    </row>
    <row r="41" ht="37.2" customHeight="1" s="44">
      <c r="A41" s="54" t="inlineStr">
        <is>
          <t>قيمة الخصم :</t>
        </is>
      </c>
      <c r="B41" s="78" t="n"/>
      <c r="C41" s="86">
        <f>COUNTIF(B7:B37,"AWO") * 2 * I3 +COUNTIF(B7:B37, "A") * I3</f>
        <v/>
      </c>
      <c r="D41" s="83" t="n"/>
      <c r="E41" s="83" t="n"/>
      <c r="F41" s="87" t="n"/>
      <c r="G41" s="35" t="inlineStr">
        <is>
          <t>مجموع الخصم :</t>
        </is>
      </c>
      <c r="H41" s="85">
        <f>SUM(C41+H40)</f>
        <v/>
      </c>
      <c r="I41" s="48" t="n"/>
      <c r="J41" s="82" t="n"/>
    </row>
    <row r="42" ht="37.2" customHeight="1" s="44">
      <c r="A42" s="54" t="inlineStr">
        <is>
          <t>إجمالي الأجر بعد الخصم :</t>
        </is>
      </c>
      <c r="B42" s="78" t="n"/>
      <c r="C42" s="88">
        <f>IF(F4&lt;&gt;"", I2/(DAY(EOMONTH(F2,0))*8)*C38, "")</f>
        <v/>
      </c>
      <c r="D42" s="88">
        <f>IFERROR(I2/(DAY(EOMONTH(F2,0))*8)*1.25*D38, "")</f>
        <v/>
      </c>
      <c r="E42" s="88">
        <f>IFERROR(I2/(DAY(EOMONTH(F2,0))*8)*1.5*E38, "")</f>
        <v/>
      </c>
      <c r="F42" s="88">
        <f>IFERROR(I2/(DAY(EOMONTH(F2,0))*8)*2.5*F38, "")</f>
        <v/>
      </c>
      <c r="G42" s="66" t="inlineStr">
        <is>
          <t>: الإجمالي</t>
        </is>
      </c>
      <c r="H42" s="78" t="n"/>
      <c r="I42" s="67">
        <f>IFERROR(SUM(C42:F42), "") - H40</f>
        <v/>
      </c>
      <c r="J42" s="82" t="n"/>
    </row>
    <row r="43" ht="34.2" customHeight="1" s="44">
      <c r="A43" s="17" t="inlineStr">
        <is>
          <t xml:space="preserve">التاريخ : </t>
        </is>
      </c>
      <c r="B43" s="89">
        <f>TODAY()</f>
        <v/>
      </c>
      <c r="C43" s="90" t="n"/>
      <c r="D43" s="91" t="inlineStr">
        <is>
          <t xml:space="preserve">توقيع الموظف : </t>
        </is>
      </c>
      <c r="E43" s="91" t="n"/>
      <c r="F43" s="91" t="n"/>
      <c r="G43" s="23" t="inlineStr">
        <is>
          <t xml:space="preserve">توقيع المدير : </t>
        </is>
      </c>
      <c r="H43" s="92" t="n"/>
      <c r="I43" s="18" t="n"/>
      <c r="J43" s="82" t="n"/>
    </row>
    <row r="44">
      <c r="A44" s="19" t="n"/>
      <c r="B44" s="93" t="n"/>
      <c r="C44" s="93" t="n"/>
      <c r="D44" s="93" t="n"/>
      <c r="E44" s="93" t="n"/>
      <c r="F44" s="93" t="n"/>
      <c r="G44" s="19" t="n"/>
      <c r="H44" s="93" t="n"/>
      <c r="I44" s="19" t="n"/>
      <c r="J44" s="82" t="n"/>
    </row>
    <row r="45">
      <c r="A45" s="19" t="n"/>
      <c r="B45" s="93" t="n"/>
      <c r="C45" s="93" t="n"/>
      <c r="D45" s="93" t="n"/>
      <c r="E45" s="93" t="n"/>
      <c r="F45" s="93" t="n"/>
      <c r="G45" s="19" t="n"/>
      <c r="H45" s="93" t="n"/>
      <c r="I45" s="19" t="n"/>
      <c r="J45" s="82" t="n"/>
    </row>
    <row r="46">
      <c r="B46" s="82" t="n"/>
      <c r="C46" s="82" t="n"/>
      <c r="D46" s="82" t="n"/>
      <c r="E46" s="82" t="n"/>
      <c r="F46" s="82" t="n"/>
      <c r="H46" s="82" t="n"/>
      <c r="J46" s="82" t="n"/>
    </row>
    <row r="47">
      <c r="B47" s="82" t="n"/>
      <c r="C47" s="82" t="n"/>
      <c r="D47" s="82" t="n"/>
      <c r="E47" s="82" t="n"/>
      <c r="F47" s="82" t="n"/>
      <c r="H47" s="82" t="n"/>
      <c r="J47" s="82" t="n"/>
    </row>
    <row r="48">
      <c r="B48" s="82" t="n"/>
      <c r="C48" s="82" t="n"/>
      <c r="D48" s="82" t="n"/>
      <c r="E48" s="82" t="n"/>
      <c r="F48" s="82" t="n"/>
      <c r="H48" s="82" t="n"/>
      <c r="J48" s="82" t="n"/>
    </row>
    <row r="49">
      <c r="B49" s="82" t="n"/>
      <c r="C49" s="82" t="n"/>
      <c r="D49" s="82" t="n"/>
      <c r="E49" s="82" t="n"/>
      <c r="F49" s="82" t="n"/>
      <c r="H49" s="82" t="n"/>
      <c r="J49" s="82" t="n"/>
    </row>
  </sheetData>
  <mergeCells count="45">
    <mergeCell ref="J31:P31"/>
    <mergeCell ref="J22:P22"/>
    <mergeCell ref="D1:E1"/>
    <mergeCell ref="I39:I41"/>
    <mergeCell ref="G42:H42"/>
    <mergeCell ref="J21:P21"/>
    <mergeCell ref="J12:P12"/>
    <mergeCell ref="J18:P18"/>
    <mergeCell ref="J33:P33"/>
    <mergeCell ref="F1:I1"/>
    <mergeCell ref="J23:P23"/>
    <mergeCell ref="A5:I5"/>
    <mergeCell ref="A41:B41"/>
    <mergeCell ref="J8:P8"/>
    <mergeCell ref="J17:P17"/>
    <mergeCell ref="J29:P29"/>
    <mergeCell ref="J14:P14"/>
    <mergeCell ref="J10:P10"/>
    <mergeCell ref="J28:P28"/>
    <mergeCell ref="J19:P19"/>
    <mergeCell ref="J37:P37"/>
    <mergeCell ref="J13:P13"/>
    <mergeCell ref="G2:G4"/>
    <mergeCell ref="A42:B42"/>
    <mergeCell ref="J9:P9"/>
    <mergeCell ref="J30:P30"/>
    <mergeCell ref="J34:P34"/>
    <mergeCell ref="J15:P15"/>
    <mergeCell ref="J24:P24"/>
    <mergeCell ref="D2:D4"/>
    <mergeCell ref="A38:B38"/>
    <mergeCell ref="J27:P27"/>
    <mergeCell ref="J36:P36"/>
    <mergeCell ref="B4:C4"/>
    <mergeCell ref="A1:C3"/>
    <mergeCell ref="J26:P26"/>
    <mergeCell ref="J35:P35"/>
    <mergeCell ref="J20:P20"/>
    <mergeCell ref="J11:P11"/>
    <mergeCell ref="J7:P7"/>
    <mergeCell ref="A40:B40"/>
    <mergeCell ref="J16:P16"/>
    <mergeCell ref="J32:P32"/>
    <mergeCell ref="A39:B39"/>
    <mergeCell ref="J25:P25"/>
  </mergeCells>
  <printOptions horizontalCentered="1" verticalCentered="1"/>
  <pageMargins left="0.25" right="0.25" top="0.75" bottom="0.75" header="0.3" footer="0.3"/>
  <pageSetup orientation="portrait" paperSize="9" scale="52" horizontalDpi="42949672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HP</dc:creator>
  <dcterms:created xsi:type="dcterms:W3CDTF">2024-12-18T10:07:28Z</dcterms:created>
  <dcterms:modified xsi:type="dcterms:W3CDTF">2026-02-27T11:24:40Z</dcterms:modified>
  <cp:lastModifiedBy>Office</cp:lastModifiedBy>
  <cp:lastPrinted>2025-12-31T10:30:34Z</cp:lastPrinted>
</cp:coreProperties>
</file>
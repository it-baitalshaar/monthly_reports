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محمد عرفان مظفر حسين" sheetId="2" state="visible" r:id="rId2"/>
    <sheet name="محمد جمعة" sheetId="3" state="visible" r:id="rId3"/>
    <sheet name="وزير خان حبيب الله خان" sheetId="4" state="visible" r:id="rId4"/>
    <sheet name="عبدالودود عجب خان" sheetId="5" state="visible" r:id="rId5"/>
    <sheet name="برينس كومار بانديت بهارات" sheetId="6" state="visible" r:id="rId6"/>
    <sheet name="راما كانت ياداف سانترا ج ياداف" sheetId="7" state="visible" r:id="rId7"/>
    <sheet name="نظر جان محمد ظاهر" sheetId="8" state="visible" r:id="rId8"/>
    <sheet name="ارشد على عزيز اور الرحمن" sheetId="9" state="visible" r:id="rId9"/>
    <sheet name="محمد مصطفى يوسف  غانم" sheetId="10" state="visible" r:id="rId10"/>
    <sheet name="عجب خان" sheetId="11" state="visible" r:id="rId11"/>
    <sheet name="حفيظ الله" sheetId="12" state="visible" r:id="rId12"/>
    <sheet name="شمس الرحمن" sheetId="13" state="visible" r:id="rId13"/>
    <sheet name="رحمت الله" sheetId="14" state="visible" r:id="rId14"/>
    <sheet name="محمد بلال احمد" sheetId="15" state="visible" r:id="rId15"/>
    <sheet name="محمد ادريس عجب كل" sheetId="16" state="visible" r:id="rId16"/>
    <sheet name=" محمد عويس شير اكبر" sheetId="17" state="visible" r:id="rId17"/>
    <sheet name="نداء الله محمد ايوب خان" sheetId="18" state="visible" r:id="rId18"/>
    <sheet name="بلال خان سعيد رحمن" sheetId="19" state="visible" r:id="rId19"/>
    <sheet name="ميلكامو مولا بيليو" sheetId="20" state="visible" r:id="rId20"/>
    <sheet name="امارى ميسقى وبيتو" sheetId="21" state="visible" r:id="rId21"/>
    <sheet name="ابابو موجيس نيجيس" sheetId="22" state="visible" r:id="rId22"/>
    <sheet name="باجر انجلال شارهان" sheetId="23" state="visible" r:id="rId23"/>
    <sheet name=" كليم الله شيرال" sheetId="24" state="visible" r:id="rId24"/>
    <sheet name="محمد شاهجان جازى" sheetId="25" state="visible" r:id="rId25"/>
    <sheet name="IFTHIKAR ALI" sheetId="26" state="visible" r:id="rId26"/>
    <sheet name="MOHAMMAD AAMIR" sheetId="27" state="visible" r:id="rId27"/>
    <sheet name="BARAKAT SHAH" sheetId="28" state="visible" r:id="rId28"/>
    <sheet name="IDRIS KHAN" sheetId="29" state="visible" r:id="rId29"/>
    <sheet name="SARDAR HUSSAIN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4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3500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عرفان مظفر حسين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inlineStr">
        <is>
          <t>Weekend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3300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جمعة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SL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Farm 826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Farm 826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Farm 826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2500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وزير خان حبيب الله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Farm 826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2600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عبدالودود عجب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Saeed Al Zubaidi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برينس كومار بانديت بهارات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Saqia 72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72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72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1300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راما كانت ياداف سانترا ج ياداف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نظر جان محمد ظاهر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Abdullah Aljunaibi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Abdullah Aljunaibi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Abdullah Aljunaibi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ارشد على عزيز اور الرحمن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3000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مصطفى يوسف  غانم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10</v>
      </c>
      <c r="D8" s="71" t="n"/>
      <c r="E8" s="73" t="n"/>
      <c r="F8" s="74" t="n"/>
      <c r="G8" s="29">
        <f>IF(B8="SL","SL","")</f>
        <v/>
      </c>
      <c r="H8" s="75" t="inlineStr">
        <is>
          <t>Al Saada Complex 2hrs + Farm 826 8hrs</t>
        </is>
      </c>
      <c r="I8" s="34">
        <f>IFERROR(IF(SUM(C8:G8)&gt;24,"إجمالي &gt; 24 ساعة.",SUM(C8:G8)), "")</f>
        <v/>
      </c>
      <c r="J8" s="70" t="inlineStr">
        <is>
          <t xml:space="preserve">I purchased breaker for farm  also I fix.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20 4hrs + Masjid Al Karama 4hrs</t>
        </is>
      </c>
      <c r="I9" s="28">
        <f>IFERROR(IF(SUM(C9:G9)&gt;24,"إجمالي &gt; 24 ساعة.",SUM(C9:G9)), "")</f>
        <v/>
      </c>
      <c r="J9" s="70" t="inlineStr">
        <is>
          <t>we clean Alsaqia Ac also we repair one Ac  of office 8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20 7hrs + Al Saada Complex 1hrs</t>
        </is>
      </c>
      <c r="I10" s="34">
        <f>IFERROR(IF(SUM(C10:G10)&gt;24,"إجمالي &gt; 24 ساعة.",SUM(C10:G10)), "")</f>
        <v/>
      </c>
      <c r="J10" s="70" t="inlineStr">
        <is>
          <t xml:space="preserve">we make water tank also chang. door lock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Salam Complex 6hrs + Al Saada Complex 2hrs</t>
        </is>
      </c>
      <c r="I11" s="28">
        <f>IFERROR(IF(SUM(C11:G11)&gt;24,"إجمالي &gt; 24 ساعة.",SUM(C11:G11)), "")</f>
        <v/>
      </c>
      <c r="J11" s="70" t="inlineStr">
        <is>
          <t>we make Ac in salam villa  flat 5 .also thraw west thing around villa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Home`s Mr.Abdullah 7hrs + Al Saada Complex 1hrs</t>
        </is>
      </c>
      <c r="I12" s="34">
        <f>IFERROR(IF(SUM(C12:G12)&gt;24,"إجمالي &gt; 24 ساعة.",SUM(C12:G12)), "")</f>
        <v/>
      </c>
      <c r="J12" s="70" t="inlineStr">
        <is>
          <t xml:space="preserve">we. shift new Ac for b4 flat. also I make  washing machine for  repair </t>
        </is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 7hrs + Al Saada Complex 1hrs</t>
        </is>
      </c>
      <c r="I13" s="28">
        <f>IFERROR(IF(SUM(C13:G13)&gt;24,"إجمالي &gt; 24 ساعة.",SUM(C13:G13)), "")</f>
        <v/>
      </c>
      <c r="J13" s="70" t="inlineStr">
        <is>
          <t xml:space="preserve">I bring compressor for villa 130 villa also we repair washing machine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 5hrs + Al Saada Complex 3hrs</t>
        </is>
      </c>
      <c r="I15" s="28">
        <f>IFERROR(IF(SUM(C15:G15)&gt;24,"إجمالي &gt; 24 ساعة.",SUM(C15:G15)), "")</f>
        <v/>
      </c>
      <c r="J15" s="70" t="inlineStr">
        <is>
          <t>I check work in shahama villa alao we fix compressor in 130 villa  1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 1hrs + Farm 826 7hrs</t>
        </is>
      </c>
      <c r="I16" s="34">
        <f>IFERROR(IF(SUM(C16:G16)&gt;24,"إجمالي &gt; 24 ساعة.",SUM(C16:G16)), "")</f>
        <v/>
      </c>
      <c r="J16" s="70" t="inlineStr">
        <is>
          <t xml:space="preserve">we move tow Ac  in farm villa. 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 3hrs + Al Salam Complex 5hrs</t>
        </is>
      </c>
      <c r="I17" s="28">
        <f>IFERROR(IF(SUM(C17:G17)&gt;24,"إجمالي &gt; 24 ساعة.",SUM(C17:G17)), "")</f>
        <v/>
      </c>
      <c r="J17" s="70" t="inlineStr">
        <is>
          <t xml:space="preserve">I provide material in Alsaada compound. also salam villa we clean outside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Salam Complex 5hrs + Al Karama Complex 3hrs</t>
        </is>
      </c>
      <c r="I18" s="34">
        <f>IFERROR(IF(SUM(C18:G18)&gt;24,"إجمالي &gt; 24 ساعة.",SUM(C18:G18)), "")</f>
        <v/>
      </c>
      <c r="J18" s="70" t="inlineStr">
        <is>
          <t xml:space="preserve">we removed scraps from salam villa  threw in scrap yard. </t>
        </is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he changed water heater in c3 flat also painting works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>painting work in flat c2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ac work in compound. a1. b4.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>Ac work in b4. also painting work c2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Salam Complex</t>
        </is>
      </c>
      <c r="I12" s="34">
        <f>IFERROR(IF(SUM(C12:G12)&gt;24,"إجمالي &gt; 24 ساعة.",SUM(C12:G12)), "")</f>
        <v/>
      </c>
      <c r="J12" s="70" t="inlineStr">
        <is>
          <t>he fix Ac. in b4 flat new gree ac</t>
        </is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painting work in c2 flat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 4hrs + Al Saada Complex 4hrs</t>
        </is>
      </c>
      <c r="I15" s="28">
        <f>IFERROR(IF(SUM(C15:G15)&gt;24,"إجمالي &gt; 24 ساعة.",SUM(C15:G15)), "")</f>
        <v/>
      </c>
      <c r="J15" s="70" t="inlineStr">
        <is>
          <t>cleaning work in c2 flat also Ac work in 130 villa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he changed Ac  two pcs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1</v>
      </c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he changed mixer in D4 flat. also c2  door painting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Ciramic fix in c2 flat. </t>
        </is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Shahama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. also he works for helping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Shahama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Shahama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in villa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1</v>
      </c>
      <c r="E11" s="68" t="n"/>
      <c r="F11" s="68" t="n"/>
      <c r="G11" s="26">
        <f>IF(B11="SL","SL","")</f>
        <v/>
      </c>
      <c r="H11" s="69" t="inlineStr">
        <is>
          <t>Al Shahama complex</t>
        </is>
      </c>
      <c r="I11" s="28">
        <f>IFERROR(IF(SUM(C11:G11)&gt;24,"إجمالي &gt; 24 ساعة.",SUM(C11:G11)), "")</f>
        <v/>
      </c>
      <c r="J11" s="70" t="inlineStr">
        <is>
          <t>cleaning work in villa also water leaking cheak in flat 2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Shahama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Shahama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Al Shahama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Ac work in farm villa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1</v>
      </c>
      <c r="E17" s="68" t="n"/>
      <c r="F17" s="68" t="n"/>
      <c r="G17" s="26">
        <f>IF(B17="SL","SL","")</f>
        <v/>
      </c>
      <c r="H17" s="69" t="inlineStr">
        <is>
          <t>Saqia 72</t>
        </is>
      </c>
      <c r="I17" s="28">
        <f>IFERROR(IF(SUM(C17:G17)&gt;24,"إجمالي &gt; 24 ساعة.",SUM(C17:G17)), "")</f>
        <v/>
      </c>
      <c r="J17" s="70" t="inlineStr">
        <is>
          <t xml:space="preserve">he fix light with Jumma in p72..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Saqia 72</t>
        </is>
      </c>
      <c r="I18" s="34">
        <f>IFERROR(IF(SUM(C18:G18)&gt;24,"إجمالي &gt; 24 ساعة.",SUM(C18:G18)), "")</f>
        <v/>
      </c>
      <c r="J18" s="70" t="inlineStr">
        <is>
          <t>he fix light in p72store</t>
        </is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Salam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Salam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.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Saqia 20</t>
        </is>
      </c>
      <c r="I9" s="28">
        <f>IFERROR(IF(SUM(C9:G9)&gt;24,"إجمالي &gt; 24 ساعة.",SUM(C9:G9)), "")</f>
        <v/>
      </c>
      <c r="J9" s="70" t="inlineStr">
        <is>
          <t xml:space="preserve">he make Ac in  office 8.also Ac service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20</t>
        </is>
      </c>
      <c r="I10" s="34">
        <f>IFERROR(IF(SUM(C10:G10)&gt;24,"إجمالي &gt; 24 ساعة.",SUM(C10:G10)), "")</f>
        <v/>
      </c>
      <c r="J10" s="70" t="inlineStr">
        <is>
          <t xml:space="preserve">he  repair water tanks in P20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Salam Complex</t>
        </is>
      </c>
      <c r="I11" s="28">
        <f>IFERROR(IF(SUM(C11:G11)&gt;24,"إجمالي &gt; 24 ساعة.",SUM(C11:G11)), "")</f>
        <v/>
      </c>
      <c r="J11" s="70" t="inlineStr">
        <is>
          <t>Cleaning work in villa . also as and toilets work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Salam Complex</t>
        </is>
      </c>
      <c r="I12" s="34">
        <f>IFERROR(IF(SUM(C12:G12)&gt;24,"إجمالي &gt; 24 ساعة.",SUM(C12:G12)), "")</f>
        <v/>
      </c>
      <c r="J12" s="70" t="inlineStr">
        <is>
          <t>Cleaning work in villa . also Ac work</t>
        </is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Salam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>
        <v>2</v>
      </c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he fix Ac  in farm villa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Salam Complex</t>
        </is>
      </c>
      <c r="I17" s="28">
        <f>IFERROR(IF(SUM(C17:G17)&gt;24,"إجمالي &gt; 24 ساعة.",SUM(C17:G17)), "")</f>
        <v/>
      </c>
      <c r="J17" s="70" t="inlineStr">
        <is>
          <t xml:space="preserve">Cleaning work in villa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Salam Complex</t>
        </is>
      </c>
      <c r="I18" s="34">
        <f>IFERROR(IF(SUM(C18:G18)&gt;24,"إجمالي &gt; 24 ساعة.",SUM(C18:G18)), "")</f>
        <v/>
      </c>
      <c r="J18" s="70" t="inlineStr">
        <is>
          <t xml:space="preserve">he collects scrap   in salam villa . </t>
        </is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بلال احمد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ادريس عجب كل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Farm 826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Waleed Al Amari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Waleed Al Amari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محمد عويس شير اكبر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Masjid Al Karama</t>
        </is>
      </c>
      <c r="I8" s="34">
        <f>IFERROR(IF(SUM(C8:G8)&gt;24,"إجمالي &gt; 24 ساعة.",SUM(C8:G8)), "")</f>
        <v/>
      </c>
      <c r="J8" s="70" t="inlineStr">
        <is>
          <t xml:space="preserve">he changed lights with bilal in Masjid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Masjid Al Karama</t>
        </is>
      </c>
      <c r="I9" s="28">
        <f>IFERROR(IF(SUM(C9:G9)&gt;24,"إجمالي &gt; 24 ساعة.",SUM(C9:G9)), "")</f>
        <v/>
      </c>
      <c r="J9" s="70" t="inlineStr">
        <is>
          <t xml:space="preserve">he fix light in bathroom areas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>painting work in c2 flat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1</v>
      </c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 xml:space="preserve">painting and Ac work. 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Home`s Mr.Abdullah</t>
        </is>
      </c>
      <c r="I12" s="34">
        <f>IFERROR(IF(SUM(C12:G12)&gt;24,"إجمالي &gt; 24 ساعة.",SUM(C12:G12)), "")</f>
        <v/>
      </c>
      <c r="J12" s="70" t="inlineStr">
        <is>
          <t xml:space="preserve">he fix Ac with hafiz in Alsaada compound </t>
        </is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</t>
        </is>
      </c>
      <c r="I13" s="28">
        <f>IFERROR(IF(SUM(C13:G13)&gt;24,"إجمالي &gt; 24 ساعة.",SUM(C13:G13)), "")</f>
        <v/>
      </c>
      <c r="J13" s="70" t="inlineStr">
        <is>
          <t>Ac worke also  washing machine fix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>
        <v>2</v>
      </c>
      <c r="E14" s="74" t="n"/>
      <c r="F14" s="74" t="n"/>
      <c r="G14" s="29">
        <f>IF(B14="SL","SL","")</f>
        <v/>
      </c>
      <c r="H14" s="75" t="inlineStr">
        <is>
          <t>Al Karama Complex</t>
        </is>
      </c>
      <c r="I14" s="34">
        <f>IFERROR(IF(SUM(C14:G14)&gt;24,"إجمالي &gt; 24 ساعة.",SUM(C14:G14)), "")</f>
        <v/>
      </c>
      <c r="J14" s="70" t="inlineStr">
        <is>
          <t>Weekend. Ac work in karama 2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Farm 826</t>
        </is>
      </c>
      <c r="I16" s="34">
        <f>IFERROR(IF(SUM(C16:G16)&gt;24,"إجمالي &gt; 24 ساعة.",SUM(C16:G16)), "")</f>
        <v/>
      </c>
      <c r="J16" s="70" t="inlineStr">
        <is>
          <t>Ac work in farm area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>Cleaning work in villa also in Baba home drainage work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Home`s Mr.Abdullah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</t>
        </is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Karama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>
        <v>2</v>
      </c>
      <c r="E8" s="73" t="n"/>
      <c r="F8" s="74" t="n"/>
      <c r="G8" s="29">
        <f>IF(B8="SL","SL","")</f>
        <v/>
      </c>
      <c r="H8" s="75" t="inlineStr">
        <is>
          <t>Masjid Al Karama</t>
        </is>
      </c>
      <c r="I8" s="34">
        <f>IFERROR(IF(SUM(C8:G8)&gt;24,"إجمالي &gt; 24 ساعة.",SUM(C8:G8)), "")</f>
        <v/>
      </c>
      <c r="J8" s="70" t="inlineStr">
        <is>
          <t xml:space="preserve">he changed lights in Masjid Alkarama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Masjid Al Karama</t>
        </is>
      </c>
      <c r="I9" s="28">
        <f>IFERROR(IF(SUM(C9:G9)&gt;24,"إجمالي &gt; 24 ساعة.",SUM(C9:G9)), "")</f>
        <v/>
      </c>
      <c r="J9" s="70" t="inlineStr">
        <is>
          <t xml:space="preserve">he fixed Ciramic in ablution area.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Saqia 20</t>
        </is>
      </c>
      <c r="I10" s="34">
        <f>IFERROR(IF(SUM(C10:G10)&gt;24,"إجمالي &gt; 24 ساعة.",SUM(C10:G10)), "")</f>
        <v/>
      </c>
      <c r="J10" s="70" t="inlineStr">
        <is>
          <t xml:space="preserve">he repair water tank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>
        <v>2</v>
      </c>
      <c r="E11" s="68" t="n"/>
      <c r="F11" s="68" t="n"/>
      <c r="G11" s="26">
        <f>IF(B11="SL","SL","")</f>
        <v/>
      </c>
      <c r="H11" s="69" t="inlineStr">
        <is>
          <t>Home`s Mr.Abdullah</t>
        </is>
      </c>
      <c r="I11" s="28">
        <f>IFERROR(IF(SUM(C11:G11)&gt;24,"إجمالي &gt; 24 ساعة.",SUM(C11:G11)), "")</f>
        <v/>
      </c>
      <c r="J11" s="70" t="inlineStr">
        <is>
          <t>Ac work. in 132 villa . also fridge transfer in arbab home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Home`s Mr.Abdullah</t>
        </is>
      </c>
      <c r="I12" s="34">
        <f>IFERROR(IF(SUM(C12:G12)&gt;24,"إجمالي &gt; 24 ساعة.",SUM(C12:G12)), "")</f>
        <v/>
      </c>
      <c r="J12" s="70" t="inlineStr">
        <is>
          <t>he make Ac also shifts Ac in alsaada</t>
        </is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Home`s Mr.Abdullah</t>
        </is>
      </c>
      <c r="I13" s="28">
        <f>IFERROR(IF(SUM(C13:G13)&gt;24,"إجمالي &gt; 24 ساعة.",SUM(C13:G13)), "")</f>
        <v/>
      </c>
      <c r="J13" s="70" t="inlineStr">
        <is>
          <t>Ac work also washing machine work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>
        <v>3</v>
      </c>
      <c r="E14" s="74" t="n"/>
      <c r="F14" s="74" t="n"/>
      <c r="G14" s="29">
        <f>IF(B14="SL","SL","")</f>
        <v/>
      </c>
      <c r="H14" s="75" t="inlineStr">
        <is>
          <t>Al Karama Complex</t>
        </is>
      </c>
      <c r="I14" s="34">
        <f>IFERROR(IF(SUM(C14:G14)&gt;24,"إجمالي &gt; 24 ساعة.",SUM(C14:G14)), "")</f>
        <v/>
      </c>
      <c r="J14" s="70" t="inlineStr">
        <is>
          <t>Weekend. alkarama 2ac work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ac work in 132 also 130 villa . he fixed Ac compressor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</t>
        </is>
      </c>
      <c r="I16" s="34">
        <f>IFERROR(IF(SUM(C16:G16)&gt;24,"إجمالي &gt; 24 ساعة.",SUM(C16:G16)), "")</f>
        <v/>
      </c>
      <c r="J16" s="70" t="inlineStr">
        <is>
          <t xml:space="preserve">in Baba home he open dran for kitchen 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Home`s Mr.Abdullah</t>
        </is>
      </c>
      <c r="I17" s="28">
        <f>IFERROR(IF(SUM(C17:G17)&gt;24,"إجمالي &gt; 24 ساعة.",SUM(C17:G17)), "")</f>
        <v/>
      </c>
      <c r="J17" s="70" t="inlineStr">
        <is>
          <t>painting work in 130 villa. in Baba home drainage work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Home`s Mr.Abdullah</t>
        </is>
      </c>
      <c r="I18" s="34">
        <f>IFERROR(IF(SUM(C18:G18)&gt;24,"إجمالي &gt; 24 ساعة.",SUM(C18:G18)), "")</f>
        <v/>
      </c>
      <c r="J18" s="70" t="inlineStr">
        <is>
          <t xml:space="preserve">painting  and lighting work </t>
        </is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ميلكامو مولا بيليو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Salem Al Zaabi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امارى ميسقى وبيتو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Waleed Al Amari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Farm 826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900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ابابو موجيس نيجيس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Saeed Al Zubaidi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Saeed Al Zubaidi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Waleed Al Amari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Waleed Al Amari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Saeed Al Zubaidi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1100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باجر انجلال شارهان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Abdullah Aljunaibi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Abdullah Aljunaibi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Farm 826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Abdullah Aljunaibi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Waleed Al Amari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Abdullah Aljunaibi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Abdullah Aljunaibi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Abdullah Aljunaibi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Abdullah Aljunaibi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Waleed Al Amari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Abdullah Aljunaibi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1000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 xml:space="preserve"> كليم الله شيرال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Salem Al Zaabi</t>
        </is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Salem Al Zaabi</t>
        </is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Salem Al Zaabi</t>
        </is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Salem Al Zaabi</t>
        </is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Salem Al Zaabi</t>
        </is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Saeed Al Zubaidi</t>
        </is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Salem Al Zaabi</t>
        </is>
      </c>
      <c r="I13" s="28">
        <f>IFERROR(IF(SUM(C13:G13)&gt;24,"إجمالي &gt; 24 ساعة.",SUM(C13:G13)), "")</f>
        <v/>
      </c>
      <c r="J13" s="70" t="inlineStr">
        <is>
          <t>Weekend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Salem Al Zaabi</t>
        </is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Salem Al Zaabi</t>
        </is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Salem Al Zaabi</t>
        </is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Salem Al Zaabi</t>
        </is>
      </c>
      <c r="I17" s="28">
        <f>IFERROR(IF(SUM(C17:G17)&gt;24,"إجمالي &gt; 24 ساعة.",SUM(C17:G17)), "")</f>
        <v/>
      </c>
      <c r="J17" s="70" t="n">
        <v/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Salem Al Zaabi</t>
        </is>
      </c>
      <c r="I18" s="34">
        <f>IFERROR(IF(SUM(C18:G18)&gt;24,"إجمالي &gt; 24 ساعة.",SUM(C18:G18)), "")</f>
        <v/>
      </c>
      <c r="J18" s="70" t="n">
        <v/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>Weekend</t>
        </is>
      </c>
    </row>
    <row r="8" ht="32" customHeight="1" s="44">
      <c r="A8" s="62" t="n">
        <v>46083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46084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 xml:space="preserve">painting and  cleaning worke </t>
        </is>
      </c>
    </row>
    <row r="10" ht="32" customHeight="1" s="44">
      <c r="A10" s="62" t="n">
        <v>46085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also he give water to plant </t>
        </is>
      </c>
    </row>
    <row r="11" ht="32" customHeight="1" s="44">
      <c r="A11" s="61" t="n">
        <v>46086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 also  he give water to plant </t>
        </is>
      </c>
    </row>
    <row r="12" ht="32" customHeight="1" s="44">
      <c r="A12" s="62" t="n">
        <v>46087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</t>
        </is>
      </c>
      <c r="I12" s="34">
        <f>IFERROR(IF(SUM(C12:G12)&gt;24,"إجمالي &gt; 24 ساعة.",SUM(C12:G12)), "")</f>
        <v/>
      </c>
      <c r="J12" s="70" t="inlineStr">
        <is>
          <t xml:space="preserve">he give water to plant also cleaning work </t>
        </is>
      </c>
    </row>
    <row r="13" ht="32" customHeight="1" s="44">
      <c r="A13" s="62" t="n">
        <v>46088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46089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Weekend</t>
        </is>
      </c>
    </row>
    <row r="15" ht="32" customHeight="1" s="44">
      <c r="A15" s="61" t="n">
        <v>46090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he give water to plant also he cleaning c villa stair </t>
        </is>
      </c>
    </row>
    <row r="16" ht="32" customHeight="1" s="44">
      <c r="A16" s="62" t="n">
        <v>46091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46092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Cleaning work in villa </t>
        </is>
      </c>
    </row>
    <row r="18" ht="32" customHeight="1" s="44">
      <c r="A18" s="62" t="n">
        <v>46093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</t>
        </is>
      </c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IFTHIKAR ALI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/>
      <c r="D9" s="68" t="n"/>
      <c r="E9" s="68" t="n"/>
      <c r="F9" s="68" t="n"/>
      <c r="G9" s="26">
        <f>IF(B9="SL","SL","")</f>
        <v/>
      </c>
      <c r="H9" s="69" t="n">
        <v/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/>
      <c r="D10" s="71" t="n"/>
      <c r="E10" s="73" t="n"/>
      <c r="F10" s="74" t="n"/>
      <c r="G10" s="29">
        <f>IF(B10="SL","SL","")</f>
        <v/>
      </c>
      <c r="H10" s="75" t="n">
        <v/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/>
      <c r="D11" s="68" t="n"/>
      <c r="E11" s="68" t="n"/>
      <c r="F11" s="68" t="n"/>
      <c r="G11" s="26">
        <f>IF(B11="SL","SL","")</f>
        <v/>
      </c>
      <c r="H11" s="69" t="n">
        <v/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46088</v>
      </c>
      <c r="B12" s="71" t="inlineStr">
        <is>
          <t>P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46089</v>
      </c>
      <c r="B13" s="68" t="inlineStr">
        <is>
          <t>P</t>
        </is>
      </c>
      <c r="C13" s="68" t="n"/>
      <c r="D13" s="68" t="n"/>
      <c r="E13" s="68" t="n"/>
      <c r="F13" s="68" t="n"/>
      <c r="G13" s="26">
        <f>IF(B13="SL","SL","")</f>
        <v/>
      </c>
      <c r="H13" s="69" t="n">
        <v/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46090</v>
      </c>
      <c r="B14" s="71" t="inlineStr">
        <is>
          <t>P</t>
        </is>
      </c>
      <c r="C14" s="72" t="n"/>
      <c r="D14" s="71" t="n"/>
      <c r="E14" s="74" t="n"/>
      <c r="F14" s="74" t="n"/>
      <c r="G14" s="29">
        <f>IF(B14="SL","SL","")</f>
        <v/>
      </c>
      <c r="H14" s="75" t="n">
        <v/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46091</v>
      </c>
      <c r="B15" s="68" t="n"/>
      <c r="C15" s="68" t="n"/>
      <c r="D15" s="68" t="n"/>
      <c r="E15" s="68" t="n"/>
      <c r="F15" s="68" t="n"/>
      <c r="G15" s="26">
        <f>IF(B15="SL","SL","")</f>
        <v/>
      </c>
      <c r="H15" s="69" t="n">
        <v/>
      </c>
      <c r="I15" s="28">
        <f>IFERROR(IF(SUM(C15:G15)&gt;24,"إجمالي &gt; 24 ساعة.",SUM(C15:G15)), "")</f>
        <v/>
      </c>
      <c r="J15" s="70" t="inlineStr">
        <is>
          <t>His-Mother-Died</t>
        </is>
      </c>
    </row>
    <row r="16" ht="32" customHeight="1" s="44">
      <c r="A16" s="62" t="n">
        <v>46092</v>
      </c>
      <c r="B16" s="71" t="inlineStr">
        <is>
          <t>P</t>
        </is>
      </c>
      <c r="C16" s="72" t="n"/>
      <c r="D16" s="71" t="n"/>
      <c r="E16" s="74" t="n"/>
      <c r="F16" s="74" t="n"/>
      <c r="G16" s="29">
        <f>IF(B16="SL","SL","")</f>
        <v/>
      </c>
      <c r="H16" s="75" t="n">
        <v/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46093</v>
      </c>
      <c r="B17" s="68" t="inlineStr">
        <is>
          <t>P</t>
        </is>
      </c>
      <c r="C17" s="68" t="n"/>
      <c r="D17" s="68" t="n"/>
      <c r="E17" s="68" t="n"/>
      <c r="F17" s="68" t="n"/>
      <c r="G17" s="26">
        <f>IF(B17="SL","SL","")</f>
        <v/>
      </c>
      <c r="H17" s="69" t="n">
        <v/>
      </c>
      <c r="I17" s="28">
        <f>IFERROR(IF(SUM(C17:G17)&gt;24,"إجمالي &gt; 24 ساعة.",SUM(C17:G17)), "")</f>
        <v/>
      </c>
      <c r="J17" s="70" t="n">
        <v/>
      </c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MOHAMMAD AAMIR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/>
      <c r="D9" s="68" t="n"/>
      <c r="E9" s="68" t="n"/>
      <c r="F9" s="68" t="n"/>
      <c r="G9" s="26">
        <f>IF(B9="SL","SL","")</f>
        <v/>
      </c>
      <c r="H9" s="69" t="n">
        <v/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/>
      <c r="D10" s="71" t="n"/>
      <c r="E10" s="73" t="n"/>
      <c r="F10" s="74" t="n"/>
      <c r="G10" s="29">
        <f>IF(B10="SL","SL","")</f>
        <v/>
      </c>
      <c r="H10" s="75" t="n">
        <v/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/>
      <c r="D11" s="68" t="n"/>
      <c r="E11" s="68" t="n"/>
      <c r="F11" s="68" t="n"/>
      <c r="G11" s="26">
        <f>IF(B11="SL","SL","")</f>
        <v/>
      </c>
      <c r="H11" s="69" t="n">
        <v/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46088</v>
      </c>
      <c r="B12" s="71" t="inlineStr">
        <is>
          <t>P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46089</v>
      </c>
      <c r="B13" s="68" t="inlineStr">
        <is>
          <t>P</t>
        </is>
      </c>
      <c r="C13" s="68" t="n"/>
      <c r="D13" s="68" t="n"/>
      <c r="E13" s="68" t="n"/>
      <c r="F13" s="68" t="n"/>
      <c r="G13" s="26">
        <f>IF(B13="SL","SL","")</f>
        <v/>
      </c>
      <c r="H13" s="69" t="n">
        <v/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46090</v>
      </c>
      <c r="B14" s="71" t="inlineStr">
        <is>
          <t>P</t>
        </is>
      </c>
      <c r="C14" s="72" t="n"/>
      <c r="D14" s="71" t="n"/>
      <c r="E14" s="74" t="n"/>
      <c r="F14" s="74" t="n"/>
      <c r="G14" s="29">
        <f>IF(B14="SL","SL","")</f>
        <v/>
      </c>
      <c r="H14" s="75" t="n">
        <v/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46091</v>
      </c>
      <c r="B15" s="68" t="inlineStr">
        <is>
          <t>P</t>
        </is>
      </c>
      <c r="C15" s="68" t="n"/>
      <c r="D15" s="68" t="n"/>
      <c r="E15" s="68" t="n"/>
      <c r="F15" s="68" t="n"/>
      <c r="G15" s="26">
        <f>IF(B15="SL","SL","")</f>
        <v/>
      </c>
      <c r="H15" s="69" t="n">
        <v/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46092</v>
      </c>
      <c r="B16" s="71" t="inlineStr">
        <is>
          <t>P</t>
        </is>
      </c>
      <c r="C16" s="72" t="n"/>
      <c r="D16" s="71" t="n"/>
      <c r="E16" s="74" t="n"/>
      <c r="F16" s="74" t="n"/>
      <c r="G16" s="29">
        <f>IF(B16="SL","SL","")</f>
        <v/>
      </c>
      <c r="H16" s="75" t="n">
        <v/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46093</v>
      </c>
      <c r="B17" s="68" t="inlineStr">
        <is>
          <t>P</t>
        </is>
      </c>
      <c r="C17" s="68" t="n"/>
      <c r="D17" s="68" t="n"/>
      <c r="E17" s="68" t="n"/>
      <c r="F17" s="68" t="n"/>
      <c r="G17" s="26">
        <f>IF(B17="SL","SL","")</f>
        <v/>
      </c>
      <c r="H17" s="69" t="n">
        <v/>
      </c>
      <c r="I17" s="28">
        <f>IFERROR(IF(SUM(C17:G17)&gt;24,"إجمالي &gt; 24 ساعة.",SUM(C17:G17)), "")</f>
        <v/>
      </c>
      <c r="J17" s="70" t="n">
        <v/>
      </c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BARAKAT SHAH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/>
      <c r="D9" s="68" t="n"/>
      <c r="E9" s="68" t="n"/>
      <c r="F9" s="68" t="n"/>
      <c r="G9" s="26">
        <f>IF(B9="SL","SL","")</f>
        <v/>
      </c>
      <c r="H9" s="69" t="n">
        <v/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/>
      <c r="D10" s="71" t="n"/>
      <c r="E10" s="73" t="n"/>
      <c r="F10" s="74" t="n"/>
      <c r="G10" s="29">
        <f>IF(B10="SL","SL","")</f>
        <v/>
      </c>
      <c r="H10" s="75" t="n">
        <v/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/>
      <c r="D11" s="68" t="n"/>
      <c r="E11" s="68" t="n"/>
      <c r="F11" s="68" t="n"/>
      <c r="G11" s="26">
        <f>IF(B11="SL","SL","")</f>
        <v/>
      </c>
      <c r="H11" s="69" t="n">
        <v/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46088</v>
      </c>
      <c r="B12" s="71" t="inlineStr">
        <is>
          <t>P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46089</v>
      </c>
      <c r="B13" s="68" t="inlineStr">
        <is>
          <t>P</t>
        </is>
      </c>
      <c r="C13" s="68" t="n"/>
      <c r="D13" s="68" t="n"/>
      <c r="E13" s="68" t="n"/>
      <c r="F13" s="68" t="n"/>
      <c r="G13" s="26">
        <f>IF(B13="SL","SL","")</f>
        <v/>
      </c>
      <c r="H13" s="69" t="n">
        <v/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46090</v>
      </c>
      <c r="B14" s="71" t="inlineStr">
        <is>
          <t>P</t>
        </is>
      </c>
      <c r="C14" s="72" t="n"/>
      <c r="D14" s="71" t="n"/>
      <c r="E14" s="74" t="n"/>
      <c r="F14" s="74" t="n"/>
      <c r="G14" s="29">
        <f>IF(B14="SL","SL","")</f>
        <v/>
      </c>
      <c r="H14" s="75" t="n">
        <v/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46091</v>
      </c>
      <c r="B15" s="68" t="inlineStr">
        <is>
          <t>P</t>
        </is>
      </c>
      <c r="C15" s="68" t="n"/>
      <c r="D15" s="68" t="n"/>
      <c r="E15" s="68" t="n"/>
      <c r="F15" s="68" t="n"/>
      <c r="G15" s="26">
        <f>IF(B15="SL","SL","")</f>
        <v/>
      </c>
      <c r="H15" s="69" t="n">
        <v/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46092</v>
      </c>
      <c r="B16" s="71" t="inlineStr">
        <is>
          <t>P</t>
        </is>
      </c>
      <c r="C16" s="72" t="n"/>
      <c r="D16" s="71" t="n"/>
      <c r="E16" s="74" t="n"/>
      <c r="F16" s="74" t="n"/>
      <c r="G16" s="29">
        <f>IF(B16="SL","SL","")</f>
        <v/>
      </c>
      <c r="H16" s="75" t="n">
        <v/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46093</v>
      </c>
      <c r="B17" s="68" t="inlineStr">
        <is>
          <t>P</t>
        </is>
      </c>
      <c r="C17" s="68" t="n"/>
      <c r="D17" s="68" t="n"/>
      <c r="E17" s="68" t="n"/>
      <c r="F17" s="68" t="n"/>
      <c r="G17" s="26">
        <f>IF(B17="SL","SL","")</f>
        <v/>
      </c>
      <c r="H17" s="69" t="n">
        <v/>
      </c>
      <c r="I17" s="28">
        <f>IFERROR(IF(SUM(C17:G17)&gt;24,"إجمالي &gt; 24 ساعة.",SUM(C17:G17)), "")</f>
        <v/>
      </c>
      <c r="J17" s="70" t="n">
        <v/>
      </c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IDRIS KHAN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/>
      <c r="D9" s="68" t="n"/>
      <c r="E9" s="68" t="n"/>
      <c r="F9" s="68" t="n"/>
      <c r="G9" s="26">
        <f>IF(B9="SL","SL","")</f>
        <v/>
      </c>
      <c r="H9" s="69" t="n">
        <v/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/>
      <c r="D10" s="71" t="n"/>
      <c r="E10" s="73" t="n"/>
      <c r="F10" s="74" t="n"/>
      <c r="G10" s="29">
        <f>IF(B10="SL","SL","")</f>
        <v/>
      </c>
      <c r="H10" s="75" t="n">
        <v/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/>
      <c r="D11" s="68" t="n"/>
      <c r="E11" s="68" t="n"/>
      <c r="F11" s="68" t="n"/>
      <c r="G11" s="26">
        <f>IF(B11="SL","SL","")</f>
        <v/>
      </c>
      <c r="H11" s="69" t="n">
        <v/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46088</v>
      </c>
      <c r="B12" s="71" t="inlineStr">
        <is>
          <t>P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46089</v>
      </c>
      <c r="B13" s="68" t="inlineStr">
        <is>
          <t>P</t>
        </is>
      </c>
      <c r="C13" s="68" t="n"/>
      <c r="D13" s="68" t="n"/>
      <c r="E13" s="68" t="n"/>
      <c r="F13" s="68" t="n"/>
      <c r="G13" s="26">
        <f>IF(B13="SL","SL","")</f>
        <v/>
      </c>
      <c r="H13" s="69" t="n">
        <v/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46090</v>
      </c>
      <c r="B14" s="71" t="inlineStr">
        <is>
          <t>P</t>
        </is>
      </c>
      <c r="C14" s="72" t="n"/>
      <c r="D14" s="71" t="n"/>
      <c r="E14" s="74" t="n"/>
      <c r="F14" s="74" t="n"/>
      <c r="G14" s="29">
        <f>IF(B14="SL","SL","")</f>
        <v/>
      </c>
      <c r="H14" s="75" t="n">
        <v/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46091</v>
      </c>
      <c r="B15" s="68" t="inlineStr">
        <is>
          <t>P</t>
        </is>
      </c>
      <c r="C15" s="68" t="n"/>
      <c r="D15" s="68" t="n"/>
      <c r="E15" s="68" t="n"/>
      <c r="F15" s="68" t="n"/>
      <c r="G15" s="26">
        <f>IF(B15="SL","SL","")</f>
        <v/>
      </c>
      <c r="H15" s="69" t="n">
        <v/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46092</v>
      </c>
      <c r="B16" s="71" t="inlineStr">
        <is>
          <t>P</t>
        </is>
      </c>
      <c r="C16" s="72" t="n"/>
      <c r="D16" s="71" t="n"/>
      <c r="E16" s="74" t="n"/>
      <c r="F16" s="74" t="n"/>
      <c r="G16" s="29">
        <f>IF(B16="SL","SL","")</f>
        <v/>
      </c>
      <c r="H16" s="75" t="n">
        <v/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46093</v>
      </c>
      <c r="B17" s="68" t="inlineStr">
        <is>
          <t>P</t>
        </is>
      </c>
      <c r="C17" s="68" t="n"/>
      <c r="D17" s="68" t="n"/>
      <c r="E17" s="68" t="n"/>
      <c r="F17" s="68" t="n"/>
      <c r="G17" s="26">
        <f>IF(B17="SL","SL","")</f>
        <v/>
      </c>
      <c r="H17" s="69" t="n">
        <v/>
      </c>
      <c r="I17" s="28">
        <f>IFERROR(IF(SUM(C17:G17)&gt;24,"إجمالي &gt; 24 ساعة.",SUM(C17:G17)), "")</f>
        <v/>
      </c>
      <c r="J17" s="70" t="n">
        <v/>
      </c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46082</v>
      </c>
      <c r="G2" s="55" t="n"/>
      <c r="H2" s="3" t="inlineStr">
        <is>
          <t>الراتب الاساسي :</t>
        </is>
      </c>
      <c r="I2" s="4" t="inlineStr">
        <is>
          <t>0</t>
        </is>
      </c>
    </row>
    <row r="3" ht="35.4" customHeight="1" s="44">
      <c r="E3" s="1" t="inlineStr">
        <is>
          <t>نهاية الشهر</t>
        </is>
      </c>
      <c r="F3" s="2" t="n">
        <v>46112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SARDAR HUSSAIN</t>
        </is>
      </c>
      <c r="E4" s="3" t="inlineStr">
        <is>
          <t>الشهر</t>
        </is>
      </c>
      <c r="F4" s="25" t="inlineStr">
        <is>
          <t>March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46082</v>
      </c>
      <c r="B7" s="68" t="inlineStr">
        <is>
          <t>P</t>
        </is>
      </c>
      <c r="C7" s="68" t="n"/>
      <c r="D7" s="68" t="n"/>
      <c r="E7" s="68" t="n"/>
      <c r="F7" s="68" t="n"/>
      <c r="G7" s="26" t="n"/>
      <c r="H7" s="69" t="n">
        <v/>
      </c>
      <c r="I7" s="28">
        <f>IFERROR(IF(SUM(C7:G7)&gt;24,"إجمالي &gt; 24 ساعة.",SUM(C7:G7)), "")</f>
        <v/>
      </c>
      <c r="J7" s="70" t="n">
        <v/>
      </c>
    </row>
    <row r="8" ht="32" customHeight="1" s="44">
      <c r="A8" s="62" t="n">
        <v>46083</v>
      </c>
      <c r="B8" s="71" t="inlineStr">
        <is>
          <t>P</t>
        </is>
      </c>
      <c r="C8" s="72" t="n"/>
      <c r="D8" s="71" t="n"/>
      <c r="E8" s="73" t="n"/>
      <c r="F8" s="74" t="n"/>
      <c r="G8" s="29">
        <f>IF(B8="SL","SL","")</f>
        <v/>
      </c>
      <c r="H8" s="75" t="n">
        <v/>
      </c>
      <c r="I8" s="34">
        <f>IFERROR(IF(SUM(C8:G8)&gt;24,"إجمالي &gt; 24 ساعة.",SUM(C8:G8)), "")</f>
        <v/>
      </c>
      <c r="J8" s="70" t="n">
        <v/>
      </c>
    </row>
    <row r="9" ht="32" customHeight="1" s="44">
      <c r="A9" s="61" t="n">
        <v>46084</v>
      </c>
      <c r="B9" s="68" t="inlineStr">
        <is>
          <t>P</t>
        </is>
      </c>
      <c r="C9" s="68" t="n"/>
      <c r="D9" s="68" t="n"/>
      <c r="E9" s="68" t="n"/>
      <c r="F9" s="68" t="n"/>
      <c r="G9" s="26">
        <f>IF(B9="SL","SL","")</f>
        <v/>
      </c>
      <c r="H9" s="69" t="n">
        <v/>
      </c>
      <c r="I9" s="28">
        <f>IFERROR(IF(SUM(C9:G9)&gt;24,"إجمالي &gt; 24 ساعة.",SUM(C9:G9)), "")</f>
        <v/>
      </c>
      <c r="J9" s="70" t="n">
        <v/>
      </c>
    </row>
    <row r="10" ht="32" customHeight="1" s="44">
      <c r="A10" s="62" t="n">
        <v>46085</v>
      </c>
      <c r="B10" s="71" t="inlineStr">
        <is>
          <t>P</t>
        </is>
      </c>
      <c r="C10" s="72" t="n"/>
      <c r="D10" s="71" t="n"/>
      <c r="E10" s="73" t="n"/>
      <c r="F10" s="74" t="n"/>
      <c r="G10" s="29">
        <f>IF(B10="SL","SL","")</f>
        <v/>
      </c>
      <c r="H10" s="75" t="n">
        <v/>
      </c>
      <c r="I10" s="34">
        <f>IFERROR(IF(SUM(C10:G10)&gt;24,"إجمالي &gt; 24 ساعة.",SUM(C10:G10)), "")</f>
        <v/>
      </c>
      <c r="J10" s="70" t="n">
        <v/>
      </c>
    </row>
    <row r="11" ht="32" customHeight="1" s="44">
      <c r="A11" s="61" t="n">
        <v>46086</v>
      </c>
      <c r="B11" s="68" t="inlineStr">
        <is>
          <t>P</t>
        </is>
      </c>
      <c r="C11" s="68" t="n"/>
      <c r="D11" s="68" t="n"/>
      <c r="E11" s="68" t="n"/>
      <c r="F11" s="68" t="n"/>
      <c r="G11" s="26">
        <f>IF(B11="SL","SL","")</f>
        <v/>
      </c>
      <c r="H11" s="69" t="n">
        <v/>
      </c>
      <c r="I11" s="28">
        <f>IFERROR(IF(SUM(C11:G11)&gt;24,"إجمالي &gt; 24 ساعة.",SUM(C11:G11)), "")</f>
        <v/>
      </c>
      <c r="J11" s="70" t="n">
        <v/>
      </c>
    </row>
    <row r="12" ht="32" customHeight="1" s="44">
      <c r="A12" s="62" t="n">
        <v>46088</v>
      </c>
      <c r="B12" s="71" t="inlineStr">
        <is>
          <t>P</t>
        </is>
      </c>
      <c r="C12" s="72" t="n"/>
      <c r="D12" s="71" t="n"/>
      <c r="E12" s="73" t="n"/>
      <c r="F12" s="74" t="n"/>
      <c r="G12" s="29">
        <f>IF(B12="SL","SL","")</f>
        <v/>
      </c>
      <c r="H12" s="75" t="n">
        <v/>
      </c>
      <c r="I12" s="34">
        <f>IFERROR(IF(SUM(C12:G12)&gt;24,"إجمالي &gt; 24 ساعة.",SUM(C12:G12)), "")</f>
        <v/>
      </c>
      <c r="J12" s="70" t="n">
        <v/>
      </c>
    </row>
    <row r="13" ht="32" customHeight="1" s="44">
      <c r="A13" s="62" t="n">
        <v>46089</v>
      </c>
      <c r="B13" s="68" t="inlineStr">
        <is>
          <t>P</t>
        </is>
      </c>
      <c r="C13" s="68" t="n"/>
      <c r="D13" s="68" t="n"/>
      <c r="E13" s="68" t="n"/>
      <c r="F13" s="68" t="n"/>
      <c r="G13" s="26">
        <f>IF(B13="SL","SL","")</f>
        <v/>
      </c>
      <c r="H13" s="69" t="n">
        <v/>
      </c>
      <c r="I13" s="28">
        <f>IFERROR(IF(SUM(C13:G13)&gt;24,"إجمالي &gt; 24 ساعة.",SUM(C13:G13)), "")</f>
        <v/>
      </c>
      <c r="J13" s="70" t="n">
        <v/>
      </c>
    </row>
    <row r="14" ht="32" customHeight="1" s="44">
      <c r="A14" s="62" t="n">
        <v>46090</v>
      </c>
      <c r="B14" s="71" t="inlineStr">
        <is>
          <t>P</t>
        </is>
      </c>
      <c r="C14" s="72" t="n"/>
      <c r="D14" s="71" t="n"/>
      <c r="E14" s="74" t="n"/>
      <c r="F14" s="74" t="n"/>
      <c r="G14" s="29">
        <f>IF(B14="SL","SL","")</f>
        <v/>
      </c>
      <c r="H14" s="75" t="n">
        <v/>
      </c>
      <c r="I14" s="34">
        <f>IFERROR(IF(SUM(C14:G14)&gt;24,"إجمالي &gt; 24 ساعة.",SUM(C14:G14)), "")</f>
        <v/>
      </c>
      <c r="J14" s="70" t="n">
        <v/>
      </c>
    </row>
    <row r="15" ht="32" customHeight="1" s="44">
      <c r="A15" s="61" t="n">
        <v>46091</v>
      </c>
      <c r="B15" s="68" t="inlineStr">
        <is>
          <t>P</t>
        </is>
      </c>
      <c r="C15" s="68" t="n"/>
      <c r="D15" s="68" t="n"/>
      <c r="E15" s="68" t="n"/>
      <c r="F15" s="68" t="n"/>
      <c r="G15" s="26">
        <f>IF(B15="SL","SL","")</f>
        <v/>
      </c>
      <c r="H15" s="69" t="n">
        <v/>
      </c>
      <c r="I15" s="28">
        <f>IFERROR(IF(SUM(C15:G15)&gt;24,"إجمالي &gt; 24 ساعة.",SUM(C15:G15)), "")</f>
        <v/>
      </c>
      <c r="J15" s="70" t="n">
        <v/>
      </c>
    </row>
    <row r="16" ht="32" customHeight="1" s="44">
      <c r="A16" s="62" t="n">
        <v>46092</v>
      </c>
      <c r="B16" s="71" t="inlineStr">
        <is>
          <t>P</t>
        </is>
      </c>
      <c r="C16" s="72" t="n"/>
      <c r="D16" s="71" t="n"/>
      <c r="E16" s="74" t="n"/>
      <c r="F16" s="74" t="n"/>
      <c r="G16" s="29">
        <f>IF(B16="SL","SL","")</f>
        <v/>
      </c>
      <c r="H16" s="75" t="n">
        <v/>
      </c>
      <c r="I16" s="34">
        <f>IFERROR(IF(SUM(C16:G16)&gt;24,"إجمالي &gt; 24 ساعة.",SUM(C16:G16)), "")</f>
        <v/>
      </c>
      <c r="J16" s="70" t="n">
        <v/>
      </c>
    </row>
    <row r="17" ht="32" customHeight="1" s="44">
      <c r="A17" s="61" t="n">
        <v>46093</v>
      </c>
      <c r="B17" s="68" t="inlineStr">
        <is>
          <t>P</t>
        </is>
      </c>
      <c r="C17" s="68" t="n"/>
      <c r="D17" s="68" t="n"/>
      <c r="E17" s="68" t="n"/>
      <c r="F17" s="68" t="n"/>
      <c r="G17" s="26">
        <f>IF(B17="SL","SL","")</f>
        <v/>
      </c>
      <c r="H17" s="69" t="n">
        <v/>
      </c>
      <c r="I17" s="28">
        <f>IFERROR(IF(SUM(C17:G17)&gt;24,"إجمالي &gt; 24 ساعة.",SUM(C17:G17)), "")</f>
        <v/>
      </c>
      <c r="J17" s="70" t="n">
        <v/>
      </c>
    </row>
    <row r="18" ht="30" customHeight="1" s="44">
      <c r="A18" s="62" t="n"/>
      <c r="B18" s="71" t="n"/>
      <c r="C18" s="72" t="n"/>
      <c r="D18" s="71" t="n"/>
      <c r="E18" s="74" t="n"/>
      <c r="F18" s="74" t="n"/>
      <c r="G18" s="29">
        <f>IF(B18="SL","SL","")</f>
        <v/>
      </c>
      <c r="H18" s="75" t="n"/>
      <c r="I18" s="34">
        <f>IFERROR(IF(SUM(C18:G18)&gt;24,"إجمالي &gt; 24 ساعة.",SUM(C18:G18)), "")</f>
        <v/>
      </c>
      <c r="J18" s="76" t="n"/>
    </row>
    <row r="19" ht="30" customHeight="1" s="44">
      <c r="A19" s="61" t="n"/>
      <c r="B19" s="68" t="n"/>
      <c r="C19" s="68" t="n"/>
      <c r="D19" s="68" t="n"/>
      <c r="E19" s="68" t="n"/>
      <c r="F19" s="68" t="n"/>
      <c r="G19" s="26">
        <f>IF(B19="SL","SL","")</f>
        <v/>
      </c>
      <c r="H19" s="69" t="n"/>
      <c r="I19" s="28">
        <f>IFERROR(IF(SUM(C19:G19)&gt;24,"إجمالي &gt; 24 ساعة.",SUM(C19:G19)), "")</f>
        <v/>
      </c>
      <c r="J19" s="76" t="n"/>
    </row>
    <row r="20" ht="30" customHeight="1" s="44">
      <c r="A20" s="62" t="n"/>
      <c r="B20" s="71" t="n"/>
      <c r="C20" s="72" t="n"/>
      <c r="D20" s="71" t="n"/>
      <c r="E20" s="74" t="n"/>
      <c r="F20" s="74" t="n"/>
      <c r="G20" s="29">
        <f>IF(B20="SL","SL","")</f>
        <v/>
      </c>
      <c r="H20" s="75" t="n"/>
      <c r="I20" s="34">
        <f>IFERROR(IF(SUM(C20:G20)&gt;24,"إجمالي &gt; 24 ساعة.",SUM(C20:G20)), "")</f>
        <v/>
      </c>
      <c r="J20" s="76" t="n"/>
    </row>
    <row r="21" ht="30" customHeight="1" s="44">
      <c r="A21" s="61" t="n"/>
      <c r="B21" s="68" t="n"/>
      <c r="C21" s="68" t="n"/>
      <c r="D21" s="68" t="n"/>
      <c r="E21" s="68" t="n"/>
      <c r="F21" s="68" t="n"/>
      <c r="G21" s="26">
        <f>IF(B21="SL","SL","")</f>
        <v/>
      </c>
      <c r="H21" s="69" t="n"/>
      <c r="I21" s="28">
        <f>IFERROR(IF(SUM(C21:G21)&gt;24,"إجمالي &gt; 24 ساعة.",SUM(C21:G21)), "")</f>
        <v/>
      </c>
      <c r="J21" s="76" t="n"/>
    </row>
    <row r="22" ht="30" customHeight="1" s="44">
      <c r="A22" s="62" t="n"/>
      <c r="B22" s="71" t="n"/>
      <c r="C22" s="72" t="n"/>
      <c r="D22" s="71" t="n"/>
      <c r="E22" s="74" t="n"/>
      <c r="F22" s="74" t="n"/>
      <c r="G22" s="29">
        <f>IF(B21="SL","SL","")</f>
        <v/>
      </c>
      <c r="H22" s="75" t="n"/>
      <c r="I22" s="34">
        <f>IFERROR(IF(SUM(C21:G21)&gt;24,"إجمالي &gt; 24 ساعة.",SUM(C21:G21)), "")</f>
        <v/>
      </c>
      <c r="J22" s="76" t="n"/>
    </row>
    <row r="23" ht="30" customHeight="1" s="44">
      <c r="A23" s="61" t="n"/>
      <c r="B23" s="68" t="n"/>
      <c r="C23" s="68" t="n"/>
      <c r="D23" s="68" t="n"/>
      <c r="E23" s="68" t="n"/>
      <c r="F23" s="68" t="n"/>
      <c r="G23" s="26">
        <f>IF(B23="SL","SL","")</f>
        <v/>
      </c>
      <c r="H23" s="69" t="n"/>
      <c r="I23" s="28">
        <f>IFERROR(IF(SUM(C23:G23)&gt;24,"إجمالي &gt; 24 ساعة.",SUM(C23:G23)), "")</f>
        <v/>
      </c>
      <c r="J23" s="76" t="n"/>
    </row>
    <row r="24" ht="30" customHeight="1" s="44">
      <c r="A24" s="62" t="n"/>
      <c r="B24" s="71" t="n"/>
      <c r="C24" s="72" t="n"/>
      <c r="D24" s="71" t="n"/>
      <c r="E24" s="74" t="n"/>
      <c r="F24" s="74" t="n"/>
      <c r="G24" s="29">
        <f>IF(B24="SL","SL","")</f>
        <v/>
      </c>
      <c r="H24" s="75" t="n"/>
      <c r="I24" s="34">
        <f>IFERROR(IF(SUM(C24:G24)&gt;24,"إجمالي &gt; 24 ساعة.",SUM(C24:G24)), "")</f>
        <v/>
      </c>
      <c r="J24" s="76" t="n"/>
    </row>
    <row r="25" ht="30" customHeight="1" s="44">
      <c r="A25" s="61" t="n"/>
      <c r="B25" s="68" t="n"/>
      <c r="C25" s="68" t="n"/>
      <c r="D25" s="68" t="n"/>
      <c r="E25" s="68" t="n"/>
      <c r="F25" s="68" t="n"/>
      <c r="G25" s="26">
        <f>IF(B25="SL","SL","")</f>
        <v/>
      </c>
      <c r="H25" s="69" t="n"/>
      <c r="I25" s="28">
        <f>IFERROR(IF(SUM(C25:G25)&gt;24,"إجمالي &gt; 24 ساعة.",SUM(C25:G25)), "")</f>
        <v/>
      </c>
      <c r="J25" s="76" t="n"/>
    </row>
    <row r="26" ht="30" customHeight="1" s="44">
      <c r="A26" s="62" t="n"/>
      <c r="B26" s="71" t="n"/>
      <c r="C26" s="72" t="n"/>
      <c r="D26" s="71" t="n"/>
      <c r="E26" s="74" t="n"/>
      <c r="F26" s="74" t="n"/>
      <c r="G26" s="29">
        <f>IF(B26="SL","SL","")</f>
        <v/>
      </c>
      <c r="H26" s="75" t="n"/>
      <c r="I26" s="34">
        <f>IFERROR(IF(SUM(C26:G26)&gt;24,"إجمالي &gt; 24 ساعة.",SUM(C26:G26)), "")</f>
        <v/>
      </c>
      <c r="J26" s="76" t="n"/>
    </row>
    <row r="27" ht="30" customHeight="1" s="44">
      <c r="A27" s="61" t="n"/>
      <c r="B27" s="68" t="n"/>
      <c r="C27" s="68" t="n"/>
      <c r="D27" s="68" t="n"/>
      <c r="E27" s="68" t="n"/>
      <c r="F27" s="68" t="n"/>
      <c r="G27" s="26">
        <f>IF(B27="SL","SL","")</f>
        <v/>
      </c>
      <c r="H27" s="69" t="n"/>
      <c r="I27" s="28">
        <f>IFERROR(IF(SUM(C27:G27)&gt;24,"إجمالي &gt; 24 ساعة.",SUM(C27:G27)), "")</f>
        <v/>
      </c>
      <c r="J27" s="76" t="n"/>
    </row>
    <row r="28" ht="30" customHeight="1" s="44">
      <c r="A28" s="62" t="n"/>
      <c r="B28" s="71" t="n"/>
      <c r="C28" s="72" t="n"/>
      <c r="D28" s="71" t="n"/>
      <c r="E28" s="74" t="n"/>
      <c r="F28" s="74" t="n"/>
      <c r="G28" s="29">
        <f>IF(B28="SL","SL","")</f>
        <v/>
      </c>
      <c r="H28" s="75" t="n"/>
      <c r="I28" s="34">
        <f>IFERROR(IF(SUM(C28:G28)&gt;24,"إجمالي &gt; 24 ساعة.",SUM(C28:G28)), "")</f>
        <v/>
      </c>
      <c r="J28" s="76" t="n"/>
    </row>
    <row r="29" ht="30" customHeight="1" s="44">
      <c r="A29" s="61" t="n"/>
      <c r="B29" s="68" t="n"/>
      <c r="C29" s="68" t="n"/>
      <c r="D29" s="68" t="n"/>
      <c r="E29" s="68" t="n"/>
      <c r="F29" s="68" t="n"/>
      <c r="G29" s="26">
        <f>IF(B29="SL","SL","")</f>
        <v/>
      </c>
      <c r="H29" s="69" t="n"/>
      <c r="I29" s="28">
        <f>IFERROR(IF(SUM(C29:G29)&gt;24,"إجمالي &gt; 24 ساعة.",SUM(C29:G29)), "")</f>
        <v/>
      </c>
      <c r="J29" s="76" t="n"/>
    </row>
    <row r="30" ht="30" customHeight="1" s="44">
      <c r="A30" s="62" t="n"/>
      <c r="B30" s="71" t="n"/>
      <c r="C30" s="72" t="n"/>
      <c r="D30" s="71" t="n"/>
      <c r="E30" s="74" t="n"/>
      <c r="F30" s="74" t="n"/>
      <c r="G30" s="29">
        <f>IF(B30="SL","SL","")</f>
        <v/>
      </c>
      <c r="H30" s="75" t="n"/>
      <c r="I30" s="34">
        <f>IFERROR(IF(SUM(C30:G30)&gt;24,"إجمالي &gt; 24 ساعة.",SUM(C30:G30)), "")</f>
        <v/>
      </c>
      <c r="J30" s="76" t="n"/>
    </row>
    <row r="31" ht="30" customHeight="1" s="44">
      <c r="A31" s="61" t="n"/>
      <c r="B31" s="68" t="n"/>
      <c r="C31" s="68" t="n"/>
      <c r="D31" s="68" t="n"/>
      <c r="E31" s="68" t="n"/>
      <c r="F31" s="68" t="n"/>
      <c r="G31" s="26">
        <f>IF(B31="SL","SL","")</f>
        <v/>
      </c>
      <c r="H31" s="69" t="n"/>
      <c r="I31" s="28">
        <f>IFERROR(IF(SUM(C31:G31)&gt;24,"إجمالي &gt; 24 ساعة.",SUM(C31:G31)), "")</f>
        <v/>
      </c>
      <c r="J31" s="76" t="n"/>
    </row>
    <row r="32" ht="30" customHeight="1" s="44">
      <c r="A32" s="62" t="n"/>
      <c r="B32" s="71" t="n"/>
      <c r="C32" s="72" t="n"/>
      <c r="D32" s="71" t="n"/>
      <c r="E32" s="74" t="n"/>
      <c r="F32" s="74" t="n"/>
      <c r="G32" s="29">
        <f>IF(B32="SL","SL","")</f>
        <v/>
      </c>
      <c r="H32" s="75" t="n"/>
      <c r="I32" s="34">
        <f>IFERROR(IF(SUM(C32:G32)&gt;24,"إجمالي &gt; 24 ساعة.",SUM(C32:G32)), "")</f>
        <v/>
      </c>
      <c r="J32" s="76" t="n"/>
    </row>
    <row r="33" ht="30" customHeight="1" s="44">
      <c r="A33" s="61" t="n"/>
      <c r="B33" s="68" t="n"/>
      <c r="C33" s="68" t="n"/>
      <c r="D33" s="68" t="n"/>
      <c r="E33" s="68" t="n"/>
      <c r="F33" s="68" t="n"/>
      <c r="G33" s="26">
        <f>IF(B33="SL","SL","")</f>
        <v/>
      </c>
      <c r="H33" s="69" t="n"/>
      <c r="I33" s="28">
        <f>IFERROR(IF(SUM(C33:G33)&gt;24,"إجمالي &gt; 24 ساعة.",SUM(C33:G33)), "")</f>
        <v/>
      </c>
      <c r="J33" s="76" t="n"/>
    </row>
    <row r="34" ht="30" customHeight="1" s="44">
      <c r="A34" s="62" t="n"/>
      <c r="B34" s="77" t="n"/>
      <c r="C34" s="72" t="n"/>
      <c r="D34" s="74" t="n"/>
      <c r="E34" s="74" t="n"/>
      <c r="F34" s="74" t="n"/>
      <c r="G34" s="29">
        <f>IF(B34="SL","SL","")</f>
        <v/>
      </c>
      <c r="H34" s="75" t="n"/>
      <c r="I34" s="34">
        <f>IFERROR(IF(SUM(C34:G34)&gt;24,"إجمالي &gt; 24 ساعة.",SUM(C34:G34)), "")</f>
        <v/>
      </c>
      <c r="J34" s="76" t="n"/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6" t="n"/>
    </row>
    <row r="36" ht="30" customHeight="1" s="44">
      <c r="A36" s="62" t="n"/>
      <c r="B36" s="77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6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6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2026-03-12T08:21:12Z</dcterms:modified>
  <cp:lastModifiedBy>Office</cp:lastModifiedBy>
  <cp:lastPrinted>2025-12-31T10:30:34Z</cp:lastPrinted>
</cp:coreProperties>
</file>
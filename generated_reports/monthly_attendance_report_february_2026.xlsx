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محمد عرفان مظفر حسين" sheetId="2" state="visible" r:id="rId2"/>
    <sheet name="محمد جمعة" sheetId="3" state="visible" r:id="rId3"/>
    <sheet name="وزير خان حبيب الله خان" sheetId="4" state="visible" r:id="rId4"/>
    <sheet name="عبدالودود عجب خان" sheetId="5" state="visible" r:id="rId5"/>
    <sheet name="برينس كومار بانديت بهارات" sheetId="6" state="visible" r:id="rId6"/>
    <sheet name="راما كانت ياداف سانترا ج ياداف" sheetId="7" state="visible" r:id="rId7"/>
    <sheet name="عدنان محمد يوسف" sheetId="8" state="visible" r:id="rId8"/>
    <sheet name="نظر جان محمد ظاهر" sheetId="9" state="visible" r:id="rId9"/>
    <sheet name="ارشد على عزيز اور الرحمن" sheetId="10" state="visible" r:id="rId10"/>
    <sheet name="محمد مصطفى يوسف  غانم" sheetId="11" state="visible" r:id="rId11"/>
    <sheet name="عجب خان" sheetId="12" state="visible" r:id="rId12"/>
    <sheet name="حفيظ الله" sheetId="13" state="visible" r:id="rId13"/>
    <sheet name="شمس الرحمن" sheetId="14" state="visible" r:id="rId14"/>
    <sheet name="رحمت الله" sheetId="15" state="visible" r:id="rId15"/>
    <sheet name="محمد بلال احمد" sheetId="16" state="visible" r:id="rId16"/>
    <sheet name="محمد ادريس عجب كل" sheetId="17" state="visible" r:id="rId17"/>
    <sheet name=" محمد عويس شير اكبر" sheetId="18" state="visible" r:id="rId18"/>
    <sheet name="نداء الله محمد ايوب خان" sheetId="19" state="visible" r:id="rId19"/>
    <sheet name="بلال خان سعيد رحمن" sheetId="20" state="visible" r:id="rId20"/>
    <sheet name="ميلكامو مولا بيليو" sheetId="21" state="visible" r:id="rId21"/>
    <sheet name="امارى ميسقى وبيتو" sheetId="22" state="visible" r:id="rId22"/>
    <sheet name="ابابو موجيس نيجيس" sheetId="23" state="visible" r:id="rId23"/>
    <sheet name="باجر انجلال شارهان" sheetId="24" state="visible" r:id="rId24"/>
    <sheet name=" كليم الله شيرال" sheetId="25" state="visible" r:id="rId25"/>
    <sheet name="محمد شاهجان جازى" sheetId="26" state="visible" r:id="rId26"/>
    <sheet name="IFTHIKAR ALI" sheetId="27" state="visible" r:id="rId27"/>
    <sheet name="MOHAMMAD AAMIR" sheetId="28" state="visible" r:id="rId28"/>
    <sheet name="BARAKAT SHAH" sheetId="29" state="visible" r:id="rId29"/>
    <sheet name="IDRIS KHAN" sheetId="30" state="visible" r:id="rId30"/>
    <sheet name="SARDAR HUSSAIN" sheetId="31" state="visible" r:id="rId3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_-&quot;AED&quot;* #,##0.00_-;\-&quot;AED&quot;* #,##0.00_-;_-&quot;AED&quot;* &quot;-&quot;??_-;_-@_-"/>
    <numFmt numFmtId="168" formatCode="[$-10000]dd/mm/yyyy;@"/>
    <numFmt numFmtId="169" formatCode="_([$AED]\ * #,##0_);_([$AED]\ * \(#,##0\);_([$AED]\ * &quot;-&quot;_);_(@_)"/>
    <numFmt numFmtId="170" formatCode="_(&quot;$&quot;* #,##0.00_);_(&quot;$&quot;* \(#,##0.00\);_(&quot;$&quot;* &quot;-&quot;??_);_(@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9" tint="-0.249946592608417"/>
      <sz val="26"/>
    </font>
    <font>
      <name val="Tahoma"/>
      <family val="2"/>
      <color theme="1"/>
      <sz val="14"/>
    </font>
    <font>
      <name val="Tahoma"/>
      <family val="2"/>
      <color theme="9" tint="-0.249946592608417"/>
      <sz val="14"/>
    </font>
    <font>
      <name val="Tahoma"/>
      <family val="2"/>
      <b val="1"/>
      <color rgb="FFFFFFFF"/>
      <sz val="14"/>
    </font>
    <font>
      <name val="Tahoma"/>
      <family val="2"/>
      <color rgb="FF000000"/>
      <sz val="14"/>
    </font>
    <font>
      <name val="Tahoma"/>
      <family val="2"/>
      <b val="1"/>
      <color theme="0"/>
      <sz val="14"/>
    </font>
    <font>
      <name val="Tahoma"/>
      <family val="2"/>
      <color theme="1"/>
      <sz val="11"/>
    </font>
    <font>
      <name val="Tahoma"/>
      <family val="2"/>
      <b val="1"/>
      <color theme="1"/>
      <sz val="14"/>
    </font>
    <font>
      <name val="Arial"/>
      <family val="2"/>
      <b val="1"/>
      <color theme="1"/>
      <sz val="14"/>
    </font>
    <font>
      <name val="Tahoma"/>
      <family val="2"/>
      <b val="1"/>
      <sz val="14"/>
    </font>
    <font>
      <name val="Segoe UI"/>
      <family val="2"/>
      <b val="1"/>
      <sz val="14"/>
    </font>
    <font>
      <name val="Tahoma"/>
      <family val="2"/>
      <b val="1"/>
      <color rgb="FF000000"/>
      <sz val="14"/>
    </font>
    <font>
      <name val="Tahoma"/>
      <family val="2"/>
      <b val="1"/>
      <color rgb="FFFF0000"/>
      <sz val="14"/>
    </font>
    <font>
      <name val="Tahoma"/>
      <family val="2"/>
      <b val="1"/>
      <color rgb="FF00B050"/>
      <sz val="14"/>
    </font>
    <font>
      <name val="Tahoma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theme="9" tint="0.5999938962981048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170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 applyAlignment="1">
      <alignment vertical="center" wrapText="1"/>
    </xf>
    <xf numFmtId="2" fontId="11" fillId="0" borderId="0" applyAlignment="1">
      <alignment horizontal="center" vertical="center"/>
    </xf>
    <xf numFmtId="0" fontId="13" fillId="0" borderId="5" applyAlignment="1">
      <alignment horizontal="center"/>
    </xf>
    <xf numFmtId="169" fontId="18" fillId="11" borderId="5" applyAlignment="1">
      <alignment horizontal="center" vertical="center" readingOrder="2"/>
    </xf>
  </cellStyleXfs>
  <cellXfs count="94">
    <xf numFmtId="0" fontId="0" fillId="0" borderId="0" pivotButton="0" quotePrefix="0" xfId="0"/>
    <xf numFmtId="0" fontId="8" fillId="3" borderId="3" applyAlignment="1" pivotButton="0" quotePrefix="0" xfId="0">
      <alignment horizontal="center" vertical="center" wrapText="1" readingOrder="2"/>
    </xf>
    <xf numFmtId="164" fontId="9" fillId="4" borderId="0" applyAlignment="1" pivotButton="0" quotePrefix="0" xfId="0">
      <alignment horizontal="center" vertical="center" wrapText="1" readingOrder="1"/>
    </xf>
    <xf numFmtId="0" fontId="10" fillId="5" borderId="4" applyAlignment="1" pivotButton="0" quotePrefix="0" xfId="0">
      <alignment horizontal="center" vertical="center" wrapText="1" readingOrder="2"/>
    </xf>
    <xf numFmtId="165" fontId="6" fillId="6" borderId="4" applyAlignment="1" pivotButton="0" quotePrefix="0" xfId="1">
      <alignment horizontal="center" vertical="center"/>
    </xf>
    <xf numFmtId="166" fontId="6" fillId="6" borderId="4" applyAlignment="1" pivotButton="0" quotePrefix="0" xfId="1">
      <alignment horizontal="center" vertical="center"/>
    </xf>
    <xf numFmtId="167" fontId="6" fillId="6" borderId="4" applyAlignment="1" pivotButton="0" quotePrefix="0" xfId="1">
      <alignment horizontal="center" vertical="center"/>
    </xf>
    <xf numFmtId="0" fontId="10" fillId="7" borderId="5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wrapText="1" readingOrder="2"/>
    </xf>
    <xf numFmtId="0" fontId="12" fillId="0" borderId="6" applyAlignment="1" pivotButton="0" quotePrefix="0" xfId="0">
      <alignment horizontal="center" vertical="center" wrapText="1"/>
    </xf>
    <xf numFmtId="1" fontId="15" fillId="0" borderId="5" applyAlignment="1" pivotButton="0" quotePrefix="0" xfId="7">
      <alignment horizontal="center" vertical="center"/>
    </xf>
    <xf numFmtId="1" fontId="12" fillId="8" borderId="5" applyAlignment="1" pivotButton="0" quotePrefix="0" xfId="7">
      <alignment horizontal="center" vertical="center" readingOrder="2"/>
    </xf>
    <xf numFmtId="0" fontId="16" fillId="9" borderId="5" applyAlignment="1" pivotButton="0" quotePrefix="0" xfId="0">
      <alignment horizontal="center" vertical="center" readingOrder="2"/>
    </xf>
    <xf numFmtId="0" fontId="12" fillId="0" borderId="5" applyAlignment="1" pivotButton="0" quotePrefix="0" xfId="1">
      <alignment horizontal="center" vertical="center" readingOrder="2"/>
    </xf>
    <xf numFmtId="0" fontId="12" fillId="10" borderId="5" applyAlignment="1" pivotButton="0" quotePrefix="0" xfId="7">
      <alignment horizontal="center" vertical="center" readingOrder="2"/>
    </xf>
    <xf numFmtId="166" fontId="12" fillId="8" borderId="5" applyAlignment="1" pivotButton="0" quotePrefix="0" xfId="1">
      <alignment horizontal="center" vertical="center" readingOrder="2"/>
    </xf>
    <xf numFmtId="0" fontId="12" fillId="10" borderId="10" applyAlignment="1" pivotButton="0" quotePrefix="0" xfId="4">
      <alignment vertical="center" readingOrder="2"/>
    </xf>
    <xf numFmtId="0" fontId="14" fillId="10" borderId="13" applyAlignment="1" pivotButton="0" quotePrefix="0" xfId="3">
      <alignment wrapText="1" readingOrder="2"/>
    </xf>
    <xf numFmtId="0" fontId="0" fillId="10" borderId="0" pivotButton="0" quotePrefix="0" xfId="0"/>
    <xf numFmtId="14" fontId="12" fillId="10" borderId="0" applyAlignment="1" pivotButton="0" quotePrefix="0" xfId="4">
      <alignment horizontal="right" vertical="center" readingOrder="2"/>
    </xf>
    <xf numFmtId="0" fontId="12" fillId="10" borderId="0" applyAlignment="1" pivotButton="0" quotePrefix="0" xfId="4">
      <alignment horizontal="right" vertical="center" readingOrder="2"/>
    </xf>
    <xf numFmtId="0" fontId="12" fillId="10" borderId="13" applyAlignment="1" pivotButton="0" quotePrefix="0" xfId="0">
      <alignment vertical="center" wrapText="1" readingOrder="2"/>
    </xf>
    <xf numFmtId="0" fontId="14" fillId="10" borderId="13" applyAlignment="1" pivotButton="0" quotePrefix="0" xfId="3">
      <alignment vertical="center" wrapText="1" readingOrder="2"/>
    </xf>
    <xf numFmtId="1" fontId="19" fillId="11" borderId="5" applyAlignment="1" pivotButton="0" quotePrefix="0" xfId="7">
      <alignment horizontal="center" vertical="center" wrapText="1" readingOrder="2"/>
    </xf>
    <xf numFmtId="0" fontId="6" fillId="2" borderId="0" applyAlignment="1" pivotButton="0" quotePrefix="0" xfId="5">
      <alignment horizontal="center" vertical="center" wrapText="1"/>
    </xf>
    <xf numFmtId="0" fontId="13" fillId="11" borderId="5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 vertical="center"/>
    </xf>
    <xf numFmtId="1" fontId="12" fillId="0" borderId="5" applyAlignment="1" pivotButton="0" quotePrefix="0" xfId="7">
      <alignment horizontal="center" vertical="center" readingOrder="2"/>
    </xf>
    <xf numFmtId="1" fontId="19" fillId="0" borderId="5" applyAlignment="1" pivotButton="0" quotePrefix="0" xfId="7">
      <alignment horizontal="center" vertical="center" wrapText="1" readingOrder="2"/>
    </xf>
    <xf numFmtId="0" fontId="12" fillId="0" borderId="5" applyAlignment="1" pivotButton="0" quotePrefix="0" xfId="6">
      <alignment horizontal="center" vertical="center" readingOrder="2"/>
    </xf>
    <xf numFmtId="0" fontId="12" fillId="8" borderId="5" applyAlignment="1" pivotButton="0" quotePrefix="0" xfId="7">
      <alignment horizontal="center" vertical="center" readingOrder="2"/>
    </xf>
    <xf numFmtId="0" fontId="17" fillId="12" borderId="14" applyAlignment="1" pivotButton="0" quotePrefix="0" xfId="4">
      <alignment horizontal="center" vertical="center" wrapText="1" readingOrder="2"/>
    </xf>
    <xf numFmtId="1" fontId="12" fillId="0" borderId="5" applyAlignment="1" pivotButton="0" quotePrefix="0" xfId="7">
      <alignment horizontal="center" vertical="center"/>
    </xf>
    <xf numFmtId="0" fontId="12" fillId="12" borderId="14" applyAlignment="1" pivotButton="0" quotePrefix="0" xfId="4">
      <alignment horizontal="center" vertical="center" readingOrder="2"/>
    </xf>
    <xf numFmtId="0" fontId="16" fillId="0" borderId="5" applyAlignment="1" pivotButton="0" quotePrefix="0" xfId="0">
      <alignment horizontal="center" vertical="center" readingOrder="1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0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2">
      <alignment horizontal="center" vertical="center" readingOrder="2"/>
    </xf>
    <xf numFmtId="0" fontId="12" fillId="8" borderId="5" applyAlignment="1" pivotButton="0" quotePrefix="0" xfId="1">
      <alignment horizontal="center" vertical="center" readingOrder="2"/>
    </xf>
    <xf numFmtId="0" fontId="0" fillId="0" borderId="8" pivotButton="0" quotePrefix="0" xfId="0"/>
    <xf numFmtId="0" fontId="0" fillId="0" borderId="9" pivotButton="0" quotePrefix="0" xfId="0"/>
    <xf numFmtId="167" fontId="12" fillId="0" borderId="5" applyAlignment="1" pivotButton="0" quotePrefix="0" xfId="1">
      <alignment horizontal="center" vertical="center" readingOrder="2"/>
    </xf>
    <xf numFmtId="0" fontId="0" fillId="0" borderId="7" pivotButton="0" quotePrefix="0" xfId="0"/>
    <xf numFmtId="0" fontId="2" fillId="10" borderId="0" applyAlignment="1" pivotButton="0" quotePrefix="0" xfId="2">
      <alignment horizontal="center" vertical="center" readingOrder="2"/>
    </xf>
    <xf numFmtId="0" fontId="6" fillId="10" borderId="11" applyAlignment="1" pivotButton="0" quotePrefix="0" xfId="0">
      <alignment horizontal="center" vertical="center" wrapText="1" readingOrder="2"/>
    </xf>
    <xf numFmtId="0" fontId="0" fillId="0" borderId="11" pivotButton="0" quotePrefix="0" xfId="0"/>
    <xf numFmtId="0" fontId="12" fillId="12" borderId="5" applyAlignment="1" pivotButton="0" quotePrefix="0" xfId="4">
      <alignment horizontal="center" vertical="center" readingOrder="2"/>
    </xf>
    <xf numFmtId="0" fontId="6" fillId="1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10" borderId="0" applyAlignment="1" pivotButton="0" quotePrefix="0" xfId="2">
      <alignment horizontal="center" vertical="center" readingOrder="2"/>
    </xf>
    <xf numFmtId="0" fontId="12" fillId="2" borderId="15" applyAlignment="1" pivotButton="0" quotePrefix="0" xfId="5">
      <alignment horizontal="center" vertical="center" wrapText="1"/>
    </xf>
    <xf numFmtId="0" fontId="0" fillId="10" borderId="0" applyAlignment="1" pivotButton="0" quotePrefix="0" xfId="0">
      <alignment horizontal="center" vertical="center" wrapText="1" readingOrder="2"/>
    </xf>
    <xf numFmtId="167" fontId="6" fillId="6" borderId="4" applyAlignment="1" pivotButton="0" quotePrefix="0" xfId="1">
      <alignment horizontal="center" vertical="center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7" fontId="12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13" fillId="11" borderId="5" applyAlignment="1" applyProtection="1" pivotButton="0" quotePrefix="0" xfId="0">
      <alignment horizontal="center"/>
      <protection locked="0" hidden="0"/>
    </xf>
    <xf numFmtId="1" fontId="19" fillId="11" borderId="5" applyAlignment="1" applyProtection="1" pivotButton="0" quotePrefix="0" xfId="7">
      <alignment horizontal="center" vertical="center" wrapText="1" readingOrder="2"/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0" fontId="13" fillId="0" borderId="5" applyAlignment="1" applyProtection="1" pivotButton="0" quotePrefix="0" xfId="0">
      <alignment horizontal="center"/>
      <protection locked="0" hidden="0"/>
    </xf>
    <xf numFmtId="1" fontId="15" fillId="0" borderId="5" applyAlignment="1" applyProtection="1" pivotButton="0" quotePrefix="0" xfId="7">
      <alignment horizontal="center" vertical="center"/>
      <protection locked="0" hidden="0"/>
    </xf>
    <xf numFmtId="1" fontId="12" fillId="0" borderId="5" applyAlignment="1" applyProtection="1" pivotButton="0" quotePrefix="0" xfId="7">
      <alignment horizontal="center" vertical="center" readingOrder="2"/>
      <protection locked="0" hidden="0"/>
    </xf>
    <xf numFmtId="1" fontId="12" fillId="0" borderId="5" applyAlignment="1" applyProtection="1" pivotButton="0" quotePrefix="0" xfId="7">
      <alignment horizontal="center" vertical="center"/>
      <protection locked="0" hidden="0"/>
    </xf>
    <xf numFmtId="1" fontId="19" fillId="0" borderId="5" applyAlignment="1" applyProtection="1" pivotButton="0" quotePrefix="0" xfId="7">
      <alignment horizontal="center" vertical="center" wrapText="1" readingOrder="2"/>
      <protection locked="0" hidden="0"/>
    </xf>
    <xf numFmtId="0" fontId="12" fillId="0" borderId="5" applyAlignment="1" applyProtection="1" pivotButton="0" quotePrefix="0" xfId="6">
      <alignment horizontal="center" vertical="center" readingOrder="2"/>
      <protection locked="0" hidden="0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7" applyProtection="1" pivotButton="0" quotePrefix="0" xfId="0">
      <protection locked="0" hidden="0"/>
    </xf>
    <xf numFmtId="1" fontId="12" fillId="8" borderId="5" applyAlignment="1" applyProtection="1" pivotButton="0" quotePrefix="0" xfId="7">
      <alignment horizontal="center" vertical="center" readingOrder="2"/>
      <protection locked="0" hidden="0"/>
    </xf>
    <xf numFmtId="0" fontId="12" fillId="8" borderId="5" applyAlignment="1" applyProtection="1" pivotButton="0" quotePrefix="0" xfId="7">
      <alignment horizontal="center" vertical="center" readingOrder="2"/>
      <protection locked="0" hidden="0"/>
    </xf>
    <xf numFmtId="169" fontId="12" fillId="8" borderId="5" applyAlignment="1" applyProtection="1" pivotButton="0" quotePrefix="0" xfId="7">
      <alignment horizontal="center" vertical="center" readingOrder="2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5" applyAlignment="1" applyProtection="1" pivotButton="0" quotePrefix="0" xfId="1">
      <alignment horizontal="center" vertical="center" readingOrder="2"/>
      <protection locked="0" hidden="0"/>
    </xf>
    <xf numFmtId="0" fontId="16" fillId="0" borderId="5" applyAlignment="1" applyProtection="1" pivotButton="0" quotePrefix="0" xfId="0">
      <alignment horizontal="center" vertical="center" readingOrder="1"/>
      <protection locked="0" hidden="0"/>
    </xf>
    <xf numFmtId="169" fontId="12" fillId="0" borderId="5" applyAlignment="1" applyProtection="1" pivotButton="0" quotePrefix="0" xfId="1">
      <alignment horizontal="center" vertical="center" readingOrder="2"/>
      <protection locked="0" hidden="0"/>
    </xf>
    <xf numFmtId="169" fontId="17" fillId="0" borderId="5" applyAlignment="1" applyProtection="1" pivotButton="0" quotePrefix="0" xfId="1">
      <alignment horizontal="center" vertical="center" readingOrder="2"/>
      <protection locked="0" hidden="0"/>
    </xf>
    <xf numFmtId="0" fontId="12" fillId="10" borderId="5" applyAlignment="1" applyProtection="1" pivotButton="0" quotePrefix="0" xfId="7">
      <alignment horizontal="center" vertical="center" readingOrder="2"/>
      <protection locked="0" hidden="0"/>
    </xf>
    <xf numFmtId="166" fontId="12" fillId="8" borderId="5" applyAlignment="1" applyProtection="1" pivotButton="0" quotePrefix="0" xfId="1">
      <alignment horizontal="center" vertical="center" readingOrder="2"/>
      <protection locked="0" hidden="0"/>
    </xf>
    <xf numFmtId="14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13" applyAlignment="1" applyProtection="1" pivotButton="0" quotePrefix="0" xfId="0">
      <alignment vertical="center" wrapText="1" readingOrder="2"/>
      <protection locked="0" hidden="0"/>
    </xf>
    <xf numFmtId="0" fontId="14" fillId="10" borderId="13" applyAlignment="1" applyProtection="1" pivotButton="0" quotePrefix="0" xfId="3">
      <alignment wrapText="1" readingOrder="2"/>
      <protection locked="0" hidden="0"/>
    </xf>
    <xf numFmtId="0" fontId="0" fillId="10" borderId="0" applyProtection="1" pivotButton="0" quotePrefix="0" xfId="0">
      <protection locked="0" hidden="0"/>
    </xf>
  </cellXfs>
  <cellStyles count="10">
    <cellStyle name="Normal" xfId="0" builtinId="0"/>
    <cellStyle name="Currency" xfId="1" builtinId="4"/>
    <cellStyle name="Title" xfId="2" builtinId="15"/>
    <cellStyle name="Heading 2" xfId="3" builtinId="17"/>
    <cellStyle name="Total" xfId="4" builtinId="25"/>
    <cellStyle name="40% - Accent6" xfId="5" builtinId="51"/>
    <cellStyle name="التاريخ" xfId="6"/>
    <cellStyle name="الساعات" xfId="7"/>
    <cellStyle name="Style 1" xfId="8"/>
    <cellStyle name="Style 2" xfId="9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b val="1"/>
        <strike val="0"/>
        <outline val="0"/>
        <shadow val="0"/>
        <color auto="1"/>
        <sz val="10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auto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sz val="14"/>
        <vertAlign val="baseline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ables/table1.xml><?xml version="1.0" encoding="utf-8"?>
<table xmlns="http://schemas.openxmlformats.org/spreadsheetml/2006/main" id="1" name="بطاقة_الوقت4517" displayName="بطاقة_الوقت4517" ref="B6:I37" headerRowCount="1" headerRowDxfId="12" dataDxfId="11" totalsRowDxfId="10">
  <tableColumns count="8">
    <tableColumn id="2" name="الحضور" dataDxfId="9" dataCellStyle="التاريخ"/>
    <tableColumn id="3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name="ساعات العمل الإضافية " totalsRowFunction="custom" dataDxfId="7" dataCellStyle="الساعات">
      <totalsRowFormula>SUM(D7:D37)</totalsRowFormula>
    </tableColumn>
    <tableColumn id="6" name="ساعات العمل خلال الإجازة" totalsRowFunction="custom" dataDxfId="6" dataCellStyle="الساعات">
      <totalsRowFormula>SUM(E7:E37)</totalsRowFormula>
    </tableColumn>
    <tableColumn id="8" name="ساعات العمل بالمناسبات الرسمية " dataDxfId="5" dataCellStyle="الساعات"/>
    <tableColumn id="5" name="إجازة مرضية" totalsRowFunction="custom" dataDxfId="4" dataCellStyle="الساعات">
      <calculatedColumnFormula>IF(B7="SL","SL","")</calculatedColumnFormula>
      <totalsRowFormula>SUM(G7:G37)</totalsRowFormula>
    </tableColumn>
    <tableColumn id="7" name="المشروع" totalsRowFunction="sum" dataDxfId="3" dataCellStyle="الساعات"/>
    <tableColumn id="9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tabSelected="1" topLeftCell="A3" workbookViewId="0">
      <selection activeCell="B43" sqref="B43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n"/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Abdullah Ghazi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/>
      <c r="B7" s="26" t="n"/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/>
      <c r="B8" s="27" t="n"/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/>
      <c r="B9" s="26" t="n"/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/>
      <c r="B10" s="27" t="n"/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/>
      <c r="B11" s="26" t="n"/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/>
      <c r="B12" s="27" t="n"/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/>
      <c r="B13" s="26" t="n"/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conditionalFormatting sqref="B34 B36">
    <cfRule type="expression" priority="1" dxfId="1">
      <formula>$B34="SL"</formula>
    </cfRule>
    <cfRule type="expression" priority="2" dxfId="0">
      <formula>$B34="W"</formula>
    </cfRule>
  </conditionalFormatting>
  <dataValidations disablePrompts="1" count="11">
    <dataValidation sqref="D34:D37" showDropDown="0" showInputMessage="1" showErrorMessage="1" allowBlank="0" type="custom">
      <formula1>IF($C34&lt;&gt;"",TRUE,FALSE)</formula1>
    </dataValidation>
    <dataValidation sqref="D42" showDropDown="0" showInputMessage="1" showErrorMessage="1" allowBlank="0" prompt="هذه الخلية مخصصة لعرض مجموع اجر عمل الساعات الاضافية_x000a_"/>
    <dataValidation sqref="A39:A42" showDropDown="0" showInputMessage="1" showErrorMessage="1" allowBlank="0" prompt="أدخل قيمة الأجر في الساعة في الخلايا إلى اليمين"/>
    <dataValidation sqref="B6" showDropDown="0" showInputMessage="1" showErrorMessage="1" allowBlank="0" prompt="يتم تحديث التاريخ تلقائياً في هذا العمود أسفل هذا العنوان بناءً على تاريخ انتهاء الأسبوع في الخلية C6"/>
    <dataValidation sqref="C6" showDropDown="0" showInputMessage="1" showErrorMessage="1" allowBlank="0" prompt="أدخل &quot;ساعات العمل العادية&quot; في هذا العمود أسفل هذا العنوان"/>
    <dataValidation sqref="D6" showDropDown="0" showInputMessage="1" showErrorMessage="1" allowBlank="0" prompt="أدخل ساعات العمل الإضافي في هذا العمود ضمن هذا العنوان"/>
    <dataValidation sqref="G6" showDropDown="0" showInputMessage="1" showErrorMessage="1" allowBlank="0" prompt="أدخل ساعات الإجازات المرضية في هذا العمود أسفل هذا العنوان"/>
    <dataValidation sqref="E4 E6 H2:H3" showDropDown="0" showInputMessage="1" showErrorMessage="1" allowBlank="0" prompt="أدخل &quot;ساعات العطلات&quot; في هذا العمود أسفل هذا العنوان"/>
    <dataValidation sqref="H6:I6" showDropDown="0" showInputMessage="1" showErrorMessage="1" allowBlank="0" prompt="يتم حساب إجمالي ساعات العمل لكل يوم تلقائياً في هذا العمود أسفل هذا العنوان"/>
    <dataValidation sqref="A38" showDropDown="0" showInputMessage="1" showErrorMessage="1" allowBlank="0" prompt="يتم حساب إجمالي الساعات للفترة بأكملها تلقائياً في الخلايا إلى اليسار"/>
    <dataValidation sqref="A42" showDropDown="0" showInputMessage="1" showErrorMessage="1" allowBlank="0" prompt="يتم حساب إجمالي الأجر تلقائياً في الخلايا إلى اليسار"/>
  </dataValidations>
  <printOptions horizontalCentered="1" verticalCentered="1"/>
  <pageMargins left="0.25" right="0.25" top="0.75" bottom="0.75" header="0.3" footer="0.3"/>
  <pageSetup orientation="portrait" paperSize="9" scale="52" horizontalDpi="429496729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3500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عرفان مظفر حسين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Farm 826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Farm 826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Waleed Al Amari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Farm 826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Farm 826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3300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جمعة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Faya 334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Faya 334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Faya 334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Faya 334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Farm 826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Farm 826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Farm 826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Farm 826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Farm 826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Saqia 72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Saqia 72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Farm 826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Saqia 72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Saqia 72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Saqia 72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Saqia 72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2400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وزير خان حبيب الله خان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Abdullah Aljunaibi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Farm 826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Waleed Al Amari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Salem Al Zaabi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Saqia 72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Faya 334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Saeed Al Zubaidi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Farm 826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2600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عبدالودود عجب خان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Farm 826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Farm 826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Saeed Al Zubaidi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Faya 334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Abdullah Aljunaibi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Saqia 72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Saqia 72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برينس كومار بانديت بهارات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Abdullah Aljunaibi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Saqia 72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Saqia 72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Saqia 72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Saqia 72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Saqia 72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1300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راما كانت ياداف سانترا ج ياداف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Faya 334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Salem Al Zaabi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عدنان محمد يوسف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Saeed Al Zubaidi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Saeed Al Zubaidi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Saeed Al Zubaidi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Saeed Al Zubaidi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Saeed Al Zubaidi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Saeed Al Zubaidi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Saeed Al Zubaidi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Saeed Al Zubaidi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Saeed Al Zubaidi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Saeed Al Zubaidi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Saeed Al Zubaidi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nan 0hrs + Saeed Al Zubaidi 8hrs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Saeed Al Zubaidi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Saeed Al Zubaidi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Saeed Al Zubaidi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Saeed Al Zubaidi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Saeed Al Zubaidi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V</t>
        </is>
      </c>
      <c r="C27" s="68" t="n"/>
      <c r="D27" s="68" t="n"/>
      <c r="E27" s="68" t="n"/>
      <c r="F27" s="68" t="n"/>
      <c r="G27" s="26">
        <f>IF(B27="SL","SL","")</f>
        <v/>
      </c>
      <c r="H27" s="69" t="n">
        <v/>
      </c>
      <c r="I27" s="28">
        <f>IFERROR(IF(SUM(C27:G27)&gt;24,"إجمالي &gt; 24 ساعة.",SUM(C27:G27)), "")</f>
        <v/>
      </c>
      <c r="J27" s="70" t="inlineStr">
        <is>
          <t>Weekend توقف عن العمل</t>
        </is>
      </c>
    </row>
    <row r="28" ht="32" customHeight="1" s="44">
      <c r="A28" s="62" t="n">
        <v>46075</v>
      </c>
      <c r="B28" s="71" t="inlineStr">
        <is>
          <t>V</t>
        </is>
      </c>
      <c r="C28" s="72" t="n"/>
      <c r="D28" s="71" t="n"/>
      <c r="E28" s="74" t="n"/>
      <c r="F28" s="74" t="n"/>
      <c r="G28" s="29">
        <f>IF(B28="SL","SL","")</f>
        <v/>
      </c>
      <c r="H28" s="75" t="n">
        <v/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V</t>
        </is>
      </c>
      <c r="C29" s="68" t="n"/>
      <c r="D29" s="68" t="n"/>
      <c r="E29" s="68" t="n"/>
      <c r="F29" s="68" t="n"/>
      <c r="G29" s="26">
        <f>IF(B29="SL","SL","")</f>
        <v/>
      </c>
      <c r="H29" s="69" t="n">
        <v/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V</t>
        </is>
      </c>
      <c r="C30" s="72" t="n"/>
      <c r="D30" s="71" t="n"/>
      <c r="E30" s="74" t="n"/>
      <c r="F30" s="74" t="n"/>
      <c r="G30" s="29">
        <f>IF(B30="SL","SL","")</f>
        <v/>
      </c>
      <c r="H30" s="75" t="n">
        <v/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V</t>
        </is>
      </c>
      <c r="C31" s="68" t="n"/>
      <c r="D31" s="68" t="n"/>
      <c r="E31" s="68" t="n"/>
      <c r="F31" s="68" t="n"/>
      <c r="G31" s="26">
        <f>IF(B31="SL","SL","")</f>
        <v/>
      </c>
      <c r="H31" s="69" t="n">
        <v/>
      </c>
      <c r="I31" s="28">
        <f>IFERROR(IF(SUM(C31:G31)&gt;24,"إجمالي &gt; 24 ساعة.",SUM(C31:G31)), "")</f>
        <v/>
      </c>
      <c r="J31" s="70" t="n">
        <v/>
      </c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7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7" t="n"/>
    </row>
    <row r="34" ht="30" customHeight="1" s="44">
      <c r="A34" s="62" t="n"/>
      <c r="B34" s="76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7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نظر جان محمد ظاهر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Abdullah Aljunaibi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Abdullah Aljunaibi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Abdullah Aljunaibi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Abdullah Aljunaibi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Abdullah Aljunaibi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Abdullah Aljunaibi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Abdullah Aljunaibi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ارشد على عزيز اور الرحمن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Abdullah Aljunaibi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Abo-Abdullah-Villa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Farm 826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Abdullah Aljunaibi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Abdullah Aljunaibi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Saqia 72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Farm 826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A</t>
        </is>
      </c>
      <c r="C31" s="68" t="n"/>
      <c r="D31" s="68" t="n"/>
      <c r="E31" s="68" t="n"/>
      <c r="F31" s="68" t="n"/>
      <c r="G31" s="26">
        <f>IF(B31="SL","SL","")</f>
        <v/>
      </c>
      <c r="H31" s="69" t="n">
        <v/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Farm 826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3000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مصطفى يوسف  غانم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Saeed Al Zubaidi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Saeed Al Zubaidi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Saeed Al Zubaidi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Saeed Al Zubaidi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عجب خان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 xml:space="preserve">Weekly off </t>
        </is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Karama Complex</t>
        </is>
      </c>
      <c r="I8" s="34">
        <f>IFERROR(IF(SUM(C8:G8)&gt;24,"إجمالي &gt; 24 ساعة.",SUM(C8:G8)), "")</f>
        <v/>
      </c>
      <c r="J8" s="70" t="inlineStr">
        <is>
          <t xml:space="preserve">I bring material for  alkarama  also  we start painting </t>
        </is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Karama Complex</t>
        </is>
      </c>
      <c r="I9" s="28">
        <f>IFERROR(IF(SUM(C9:G9)&gt;24,"إجمالي &gt; 24 ساعة.",SUM(C9:G9)), "")</f>
        <v/>
      </c>
      <c r="J9" s="70" t="inlineStr">
        <is>
          <t>we painting  in alkarama company in villa 1</t>
        </is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Karama Complex</t>
        </is>
      </c>
      <c r="I10" s="34">
        <f>IFERROR(IF(SUM(C10:G10)&gt;24,"إجمالي &gt; 24 ساعة.",SUM(C10:G10)), "")</f>
        <v/>
      </c>
      <c r="J10" s="70" t="inlineStr">
        <is>
          <t xml:space="preserve">we go Alain  we changed lights also kitchen mixer. some another maintenance </t>
        </is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Shahama complex 3hrs + Al Karama Complex 5hrs</t>
        </is>
      </c>
      <c r="I11" s="28">
        <f>IFERROR(IF(SUM(C11:G11)&gt;24,"إجمالي &gt; 24 ساعة.",SUM(C11:G11)), "")</f>
        <v/>
      </c>
      <c r="J11" s="70" t="inlineStr">
        <is>
          <t xml:space="preserve">we make  washing machine in farm also paint 🫟 work in alkarama </t>
        </is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Saada Complex 2hrs + Al Karama Complex 6hrs</t>
        </is>
      </c>
      <c r="I12" s="34">
        <f>IFERROR(IF(SUM(C12:G12)&gt;24,"إجمالي &gt; 24 ساعة.",SUM(C12:G12)), "")</f>
        <v/>
      </c>
      <c r="J12" s="70" t="inlineStr">
        <is>
          <t>Ac work in Alsaada. also painting work in alkarama 1</t>
        </is>
      </c>
    </row>
    <row r="13" ht="32" customHeight="1" s="44">
      <c r="A13" s="62" t="n">
        <v>46060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M38_P107 5hrs + Al Shahama complex 3hrs</t>
        </is>
      </c>
      <c r="I13" s="28">
        <f>IFERROR(IF(SUM(C13:G13)&gt;24,"إجمالي &gt; 24 ساعة.",SUM(C13:G13)), "")</f>
        <v/>
      </c>
      <c r="J13" s="70" t="inlineStr">
        <is>
          <t>we fix washing in farm villa . also we chak water leaking in 107</t>
        </is>
      </c>
    </row>
    <row r="14" ht="32" customHeight="1" s="44">
      <c r="A14" s="62" t="n">
        <v>46061</v>
      </c>
      <c r="B14" s="71" t="inlineStr">
        <is>
          <t>W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Saada Complex</t>
        </is>
      </c>
      <c r="I14" s="34">
        <f>IFERROR(IF(SUM(C14:G14)&gt;24,"إجمالي &gt; 24 ساعة.",SUM(C14:G14)), "")</f>
        <v/>
      </c>
      <c r="J14" s="70" t="inlineStr">
        <is>
          <t>Weekly off</t>
        </is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Karama Complex 4hrs + Home`s Mr.Abdullah 4hrs</t>
        </is>
      </c>
      <c r="I15" s="28">
        <f>IFERROR(IF(SUM(C15:G15)&gt;24,"إجمالي &gt; 24 ساعة.",SUM(C15:G15)), "")</f>
        <v/>
      </c>
      <c r="J15" s="70" t="inlineStr">
        <is>
          <t>painting work in alkarama 1. also 130 villa  doors work</t>
        </is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Karama Complex 4hrs + Al Saada Complex 4hrs</t>
        </is>
      </c>
      <c r="I16" s="34">
        <f>IFERROR(IF(SUM(C16:G16)&gt;24,"إجمالي &gt; 24 ساعة.",SUM(C16:G16)), "")</f>
        <v/>
      </c>
      <c r="J16" s="70" t="inlineStr">
        <is>
          <t>I fix water problem in flat b2. also we painting in k1 villa</t>
        </is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Saada Complex 3hrs + Al Karama Complex 5hrs</t>
        </is>
      </c>
      <c r="I17" s="28">
        <f>IFERROR(IF(SUM(C17:G17)&gt;24,"إجمالي &gt; 24 ساعة.",SUM(C17:G17)), "")</f>
        <v/>
      </c>
      <c r="J17" s="70" t="inlineStr">
        <is>
          <t>painting work in villa 1.also villa 5 we changed lights also door work</t>
        </is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Karama Complex 5hrs + Al Shahama complex 3hrs</t>
        </is>
      </c>
      <c r="I18" s="34">
        <f>IFERROR(IF(SUM(C18:G18)&gt;24,"إجمالي &gt; 24 ساعة.",SUM(C18:G18)), "")</f>
        <v/>
      </c>
      <c r="J18" s="70" t="inlineStr">
        <is>
          <t xml:space="preserve">we make  water tank shade. also main door painting of k1. </t>
        </is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Salam Complex 2hrs + Al Shahama complex 6hrs</t>
        </is>
      </c>
      <c r="I19" s="28">
        <f>IFERROR(IF(SUM(C19:G19)&gt;24,"إجمالي &gt; 24 ساعة.",SUM(C19:G19)), "")</f>
        <v/>
      </c>
      <c r="J19" s="70" t="inlineStr">
        <is>
          <t>I bring for Shaban fridge. also we painting in flat 1</t>
        </is>
      </c>
    </row>
    <row r="20" ht="32" customHeight="1" s="44">
      <c r="A20" s="62" t="n">
        <v>46067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Saada Complex 2hrs + Al Karama Complex 6hrs</t>
        </is>
      </c>
      <c r="I20" s="34">
        <f>IFERROR(IF(SUM(C20:G20)&gt;24,"إجمالي &gt; 24 ساعة.",SUM(C20:G20)), "")</f>
        <v/>
      </c>
      <c r="J20" s="70" t="inlineStr">
        <is>
          <t xml:space="preserve">in Alsaada we fix windows 🪟 net in d8 flat. also alkaram we move crap in arbab home </t>
        </is>
      </c>
    </row>
    <row r="21" ht="32" customHeight="1" s="44">
      <c r="A21" s="61" t="n">
        <v>46068</v>
      </c>
      <c r="B21" s="68" t="inlineStr">
        <is>
          <t>W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n">
        <v/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 xml:space="preserve">I bring sand and cement for door of Alsaada also we open old doors accessories. </t>
        </is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Home`s Mr.Abdullah 2hrs + Al Saada Complex 6hrs</t>
        </is>
      </c>
      <c r="I23" s="28">
        <f>IFERROR(IF(SUM(C23:G23)&gt;24,"إجمالي &gt; 24 ساعة.",SUM(C23:G23)), "")</f>
        <v/>
      </c>
      <c r="J23" s="70" t="inlineStr">
        <is>
          <t>we make Alsaada gate  level. also in 130 villa kitchen cabinet work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Karama Complex 3hrs + Al Saada Complex 5hrs</t>
        </is>
      </c>
      <c r="I24" s="34">
        <f>IFERROR(IF(SUM(C24:G24)&gt;24,"إجمالي &gt; 24 ساعة.",SUM(C24:G24)), "")</f>
        <v/>
      </c>
      <c r="J24" s="70" t="inlineStr">
        <is>
          <t xml:space="preserve">I bring material for alkarama 5 villa also we fix water pump </t>
        </is>
      </c>
    </row>
    <row r="25" ht="32" customHeight="1" s="44">
      <c r="A25" s="61" t="n">
        <v>46072</v>
      </c>
      <c r="B25" s="68" t="inlineStr">
        <is>
          <t>P</t>
        </is>
      </c>
      <c r="C25" s="68" t="n">
        <v>7</v>
      </c>
      <c r="D25" s="68" t="n"/>
      <c r="E25" s="68" t="n"/>
      <c r="F25" s="68" t="n"/>
      <c r="G25" s="26">
        <f>IF(B25="SL","SL","")</f>
        <v/>
      </c>
      <c r="H25" s="69" t="inlineStr">
        <is>
          <t>Al Karama Complex -1hrs + Al Saada Complex 8hrs</t>
        </is>
      </c>
      <c r="I25" s="28">
        <f>IFERROR(IF(SUM(C25:G25)&gt;24,"إجمالي &gt; 24 ساعة.",SUM(C25:G25)), "")</f>
        <v/>
      </c>
      <c r="J25" s="70" t="inlineStr">
        <is>
          <t>Weekend</t>
        </is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Saada Complex 5hrs + Saqia 72 3hrs</t>
        </is>
      </c>
      <c r="I26" s="34">
        <f>IFERROR(IF(SUM(C26:G26)&gt;24,"إجمالي &gt; 24 ساعة.",SUM(C26:G26)), "")</f>
        <v/>
      </c>
      <c r="J26" s="70" t="inlineStr">
        <is>
          <t xml:space="preserve">I drop 2 person for worke in p72. also Alsaada we make pipe in e1 flat </t>
        </is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Saada Complex 5hrs + Masjid Al Karama 3hrs</t>
        </is>
      </c>
      <c r="I27" s="28">
        <f>IFERROR(IF(SUM(C27:G27)&gt;24,"إجمالي &gt; 24 ساعة.",SUM(C27:G27)), "")</f>
        <v/>
      </c>
      <c r="J27" s="70" t="inlineStr">
        <is>
          <t>for alsàada gate mains people come. they fix. also we cheak Masjid ac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Salam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Saada Complex 4hrs + Al Karama Complex 4hrs</t>
        </is>
      </c>
      <c r="I29" s="28">
        <f>IFERROR(IF(SUM(C29:G29)&gt;24,"إجمالي &gt; 24 ساعة.",SUM(C29:G29)), "")</f>
        <v/>
      </c>
      <c r="J29" s="70" t="inlineStr">
        <is>
          <t xml:space="preserve">we make store wall also Ac service In b1 flat </t>
        </is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Saada Complex 5hrs + Farm 826 3hrs</t>
        </is>
      </c>
      <c r="I30" s="34">
        <f>IFERROR(IF(SUM(C30:G30)&gt;24,"إجمالي &gt; 24 ساعة.",SUM(C30:G30)), "")</f>
        <v/>
      </c>
      <c r="J30" s="70" t="inlineStr">
        <is>
          <t xml:space="preserve">I give things for farm. also we Ac work  </t>
        </is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Saqia 72 6hrs + Al Karama Complex 2hrs</t>
        </is>
      </c>
      <c r="I31" s="28">
        <f>IFERROR(IF(SUM(C31:G31)&gt;24,"إجمالي &gt; 24 ساعة.",SUM(C31:G31)), "")</f>
        <v/>
      </c>
      <c r="J31" s="70" t="inlineStr">
        <is>
          <t xml:space="preserve">I drop tow person In p72. also I arranged breaker for  Mazzrah </t>
        </is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Karama Complex 3hrs + Abo-Abdullah-Villa 3hrs + Saqia 72 2hrs</t>
        </is>
      </c>
      <c r="I32" s="34">
        <f>IFERROR(IF(SUM(C32:G32)&gt;24,"إجمالي &gt; 24 ساعة.",SUM(C32:G32)), "")</f>
        <v/>
      </c>
      <c r="J32" s="70" t="inlineStr">
        <is>
          <t xml:space="preserve">in Alsaqia 72 I drop tow person. Baba home electric work. k5 villa kitchen cabinet work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Masjid Al Karama 6hrs + Saqia 72 2hrs</t>
        </is>
      </c>
      <c r="I33" s="28">
        <f>IFERROR(IF(SUM(C33:G33)&gt;24,"إجمالي &gt; 24 ساعة.",SUM(C33:G33)), "")</f>
        <v/>
      </c>
      <c r="J33" s="70" t="inlineStr">
        <is>
          <t xml:space="preserve">I drop 2 person for light fitting. also we changed lights in masjid alkarama </t>
        </is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Saada Complex</t>
        </is>
      </c>
      <c r="I34" s="34">
        <f>IFERROR(IF(SUM(C34:G34)&gt;24,"إجمالي &gt; 24 ساعة.",SUM(C34:G34)), "")</f>
        <v/>
      </c>
      <c r="J34" s="70" t="inlineStr">
        <is>
          <t xml:space="preserve">I drop 2 person for light fitting. also we changed lights in masjid alkarama 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2000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حفيظ الله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 xml:space="preserve">Weekly off </t>
        </is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Karama Complex</t>
        </is>
      </c>
      <c r="I8" s="34">
        <f>IFERROR(IF(SUM(C8:G8)&gt;24,"إجمالي &gt; 24 ساعة.",SUM(C8:G8)), "")</f>
        <v/>
      </c>
      <c r="J8" s="70" t="inlineStr">
        <is>
          <t>painting work in alkarama 1</t>
        </is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Karama Complex</t>
        </is>
      </c>
      <c r="I9" s="28">
        <f>IFERROR(IF(SUM(C9:G9)&gt;24,"إجمالي &gt; 24 ساعة.",SUM(C9:G9)), "")</f>
        <v/>
      </c>
      <c r="J9" s="70" t="inlineStr">
        <is>
          <t>painting work in karama 1</t>
        </is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 1hrs + Al Karama Complex 7hrs</t>
        </is>
      </c>
      <c r="I10" s="34">
        <f>IFERROR(IF(SUM(C10:G10)&gt;24,"إجمالي &gt; 24 ساعة.",SUM(C10:G10)), "")</f>
        <v/>
      </c>
      <c r="J10" s="70" t="inlineStr">
        <is>
          <t>he changed water heater in C5. also painting work in  Karma 1</t>
        </is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Karama Complex</t>
        </is>
      </c>
      <c r="I11" s="28">
        <f>IFERROR(IF(SUM(C11:G11)&gt;24,"إجمالي &gt; 24 ساعة.",SUM(C11:G11)), "")</f>
        <v/>
      </c>
      <c r="J11" s="70" t="inlineStr">
        <is>
          <t>painting work  in alkarama 1</t>
        </is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Al Karama Complex</t>
        </is>
      </c>
      <c r="I12" s="34">
        <f>IFERROR(IF(SUM(C12:G12)&gt;24,"إجمالي &gt; 24 ساعة.",SUM(C12:G12)), "")</f>
        <v/>
      </c>
      <c r="J12" s="70" t="inlineStr">
        <is>
          <t xml:space="preserve">Ac work d5. also alkarama 1 painting work </t>
        </is>
      </c>
    </row>
    <row r="13" ht="32" customHeight="1" s="44">
      <c r="A13" s="62" t="n">
        <v>46060</v>
      </c>
      <c r="B13" s="68" t="inlineStr">
        <is>
          <t>P</t>
        </is>
      </c>
      <c r="C13" s="68" t="n">
        <v>8</v>
      </c>
      <c r="D13" s="68" t="n">
        <v>4</v>
      </c>
      <c r="E13" s="68" t="n"/>
      <c r="F13" s="68" t="n"/>
      <c r="G13" s="26">
        <f>IF(B13="SL","SL","")</f>
        <v/>
      </c>
      <c r="H13" s="69" t="inlineStr">
        <is>
          <t>Al Saada Complex</t>
        </is>
      </c>
      <c r="I13" s="28">
        <f>IFERROR(IF(SUM(C13:G13)&gt;24,"إجمالي &gt; 24 ساعة.",SUM(C13:G13)), "")</f>
        <v/>
      </c>
      <c r="J13" s="70" t="inlineStr">
        <is>
          <t>ac work. also door man work</t>
        </is>
      </c>
    </row>
    <row r="14" ht="32" customHeight="1" s="44">
      <c r="A14" s="62" t="n">
        <v>46061</v>
      </c>
      <c r="B14" s="71" t="inlineStr">
        <is>
          <t>W</t>
        </is>
      </c>
      <c r="C14" s="72" t="n">
        <v>8</v>
      </c>
      <c r="D14" s="71" t="n"/>
      <c r="E14" s="74" t="n">
        <v>3</v>
      </c>
      <c r="F14" s="74" t="n"/>
      <c r="G14" s="29">
        <f>IF(B14="SL","SL","")</f>
        <v/>
      </c>
      <c r="H14" s="75" t="inlineStr">
        <is>
          <t>Al Saada Complex</t>
        </is>
      </c>
      <c r="I14" s="34">
        <f>IFERROR(IF(SUM(C14:G14)&gt;24,"إجمالي &gt; 24 ساعة.",SUM(C14:G14)), "")</f>
        <v/>
      </c>
      <c r="J14" s="70" t="inlineStr">
        <is>
          <t xml:space="preserve">Weekly off . also he open and  close for people </t>
        </is>
      </c>
    </row>
    <row r="15" ht="32" customHeight="1" s="44">
      <c r="A15" s="61" t="n">
        <v>46062</v>
      </c>
      <c r="B15" s="68" t="inlineStr">
        <is>
          <t>P</t>
        </is>
      </c>
      <c r="C15" s="68" t="n">
        <v>7</v>
      </c>
      <c r="D15" s="68" t="n">
        <v>1</v>
      </c>
      <c r="E15" s="68" t="n"/>
      <c r="F15" s="68" t="n"/>
      <c r="G15" s="26">
        <f>IF(B15="SL","SL","")</f>
        <v/>
      </c>
      <c r="H15" s="69" t="inlineStr">
        <is>
          <t>Al Karama Complex 8hrs + Saqia 72 -1hrs</t>
        </is>
      </c>
      <c r="I15" s="28">
        <f>IFERROR(IF(SUM(C15:G15)&gt;24,"إجمالي &gt; 24 ساعة.",SUM(C15:G15)), "")</f>
        <v/>
      </c>
      <c r="J15" s="70" t="inlineStr">
        <is>
          <t xml:space="preserve">alkarama villa 1  painting </t>
        </is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</t>
        </is>
      </c>
      <c r="I16" s="34">
        <f>IFERROR(IF(SUM(C16:G16)&gt;24,"إجمالي &gt; 24 ساعة.",SUM(C16:G16)), "")</f>
        <v/>
      </c>
      <c r="J16" s="70" t="inlineStr">
        <is>
          <t xml:space="preserve">painting work in flat a2. also give water to plant </t>
        </is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>he watching door</t>
        </is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Saada Complex</t>
        </is>
      </c>
      <c r="I18" s="34">
        <f>IFERROR(IF(SUM(C18:G18)&gt;24,"إجمالي &gt; 24 ساعة.",SUM(C18:G18)), "")</f>
        <v/>
      </c>
      <c r="J18" s="70" t="inlineStr">
        <is>
          <t xml:space="preserve">he work  is a door man .. </t>
        </is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Saada Complex</t>
        </is>
      </c>
      <c r="I19" s="28">
        <f>IFERROR(IF(SUM(C19:G19)&gt;24,"إجمالي &gt; 24 ساعة.",SUM(C19:G19)), "")</f>
        <v/>
      </c>
      <c r="J19" s="70" t="inlineStr">
        <is>
          <t>he work is a door man</t>
        </is>
      </c>
    </row>
    <row r="20" ht="32" customHeight="1" s="44">
      <c r="A20" s="62" t="n">
        <v>46067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Saada Complex</t>
        </is>
      </c>
      <c r="I20" s="34">
        <f>IFERROR(IF(SUM(C20:G20)&gt;24,"إجمالي &gt; 24 ساعة.",SUM(C20:G20)), "")</f>
        <v/>
      </c>
      <c r="J20" s="70" t="inlineStr">
        <is>
          <t xml:space="preserve">he  work is a door man. 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4</v>
      </c>
      <c r="E21" s="68" t="n"/>
      <c r="F21" s="68" t="n"/>
      <c r="G21" s="26">
        <f>IF(B21="SL","SL","")</f>
        <v/>
      </c>
      <c r="H21" s="69" t="inlineStr">
        <is>
          <t>Al Saada Complex</t>
        </is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4</v>
      </c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>he fix water heater in flat b1. also some doors work</t>
        </is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Al Saada Complex</t>
        </is>
      </c>
      <c r="I23" s="28">
        <f>IFERROR(IF(SUM(C23:G23)&gt;24,"إجمالي &gt; 24 ساعة.",SUM(C23:G23)), "")</f>
        <v/>
      </c>
      <c r="J23" s="70" t="inlineStr">
        <is>
          <t xml:space="preserve">Alsaada gate work 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Saada Complex</t>
        </is>
      </c>
      <c r="I24" s="34">
        <f>IFERROR(IF(SUM(C24:G24)&gt;24,"إجمالي &gt; 24 ساعة.",SUM(C24:G24)), "")</f>
        <v/>
      </c>
      <c r="J24" s="70" t="inlineStr">
        <is>
          <t xml:space="preserve">ge give water to plant. </t>
        </is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Saada Complex</t>
        </is>
      </c>
      <c r="I25" s="28">
        <f>IFERROR(IF(SUM(C25:G25)&gt;24,"إجمالي &gt; 24 ساعة.",SUM(C25:G25)), "")</f>
        <v/>
      </c>
      <c r="J25" s="70" t="inlineStr">
        <is>
          <t xml:space="preserve">he work is Watchmen. </t>
        </is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Saqia 72</t>
        </is>
      </c>
      <c r="I26" s="34">
        <f>IFERROR(IF(SUM(C26:G26)&gt;24,"إجمالي &gt; 24 ساعة.",SUM(C26:G26)), "")</f>
        <v/>
      </c>
      <c r="J26" s="70" t="inlineStr">
        <is>
          <t xml:space="preserve">he work with Jumma </t>
        </is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Masjid Al Karama</t>
        </is>
      </c>
      <c r="I27" s="28">
        <f>IFERROR(IF(SUM(C27:G27)&gt;24,"إجمالي &gt; 24 ساعة.",SUM(C27:G27)), "")</f>
        <v/>
      </c>
      <c r="J27" s="70" t="inlineStr">
        <is>
          <t>ha cheak Masjid ac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Saada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Saada Complex</t>
        </is>
      </c>
      <c r="I29" s="28">
        <f>IFERROR(IF(SUM(C29:G29)&gt;24,"إجمالي &gt; 24 ساعة.",SUM(C29:G29)), "")</f>
        <v/>
      </c>
      <c r="J29" s="70" t="inlineStr">
        <is>
          <t xml:space="preserve">Ac work. flat b1. </t>
        </is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Saada Complex</t>
        </is>
      </c>
      <c r="I30" s="34">
        <f>IFERROR(IF(SUM(C30:G30)&gt;24,"إجمالي &gt; 24 ساعة.",SUM(C30:G30)), "")</f>
        <v/>
      </c>
      <c r="J30" s="70" t="inlineStr">
        <is>
          <t xml:space="preserve">Ac work in villa e 4.d1 </t>
        </is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Saqia 72</t>
        </is>
      </c>
      <c r="I31" s="28">
        <f>IFERROR(IF(SUM(C31:G31)&gt;24,"إجمالي &gt; 24 ساعة.",SUM(C31:G31)), "")</f>
        <v/>
      </c>
      <c r="J31" s="70" t="inlineStr">
        <is>
          <t xml:space="preserve">he work with Jumma for electric work </t>
        </is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Saqia 72</t>
        </is>
      </c>
      <c r="I32" s="34">
        <f>IFERROR(IF(SUM(C32:G32)&gt;24,"إجمالي &gt; 24 ساعة.",SUM(C32:G32)), "")</f>
        <v/>
      </c>
      <c r="J32" s="70" t="inlineStr">
        <is>
          <t xml:space="preserve">electric work in p72 store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Saqia 72</t>
        </is>
      </c>
      <c r="I33" s="28">
        <f>IFERROR(IF(SUM(C33:G33)&gt;24,"إجمالي &gt; 24 ساعة.",SUM(C33:G33)), "")</f>
        <v/>
      </c>
      <c r="J33" s="70" t="inlineStr">
        <is>
          <t>he fix light in p72 with jumma</t>
        </is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Saada Complex</t>
        </is>
      </c>
      <c r="I34" s="34">
        <f>IFERROR(IF(SUM(C34:G34)&gt;24,"إجمالي &gt; 24 ساعة.",SUM(C34:G34)), "")</f>
        <v/>
      </c>
      <c r="J34" s="70" t="inlineStr">
        <is>
          <t>he fix light in p72 with jumma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شمس الرحمن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Shahama complex</t>
        </is>
      </c>
      <c r="I7" s="28">
        <f>IFERROR(IF(SUM(C7:G7)&gt;24,"إجمالي &gt; 24 ساعة.",SUM(C7:G7)), "")</f>
        <v/>
      </c>
      <c r="J7" s="70" t="inlineStr">
        <is>
          <t>Weekly off</t>
        </is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Shahama complex</t>
        </is>
      </c>
      <c r="I8" s="34">
        <f>IFERROR(IF(SUM(C8:G8)&gt;24,"إجمالي &gt; 24 ساعة.",SUM(C8:G8)), "")</f>
        <v/>
      </c>
      <c r="J8" s="70" t="inlineStr">
        <is>
          <t xml:space="preserve">Cleaning work in villa </t>
        </is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Shahama complex</t>
        </is>
      </c>
      <c r="I9" s="28">
        <f>IFERROR(IF(SUM(C9:G9)&gt;24,"إجمالي &gt; 24 ساعة.",SUM(C9:G9)), "")</f>
        <v/>
      </c>
      <c r="J9" s="70" t="inlineStr">
        <is>
          <t xml:space="preserve">cleaning work in villa </t>
        </is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Salam Complex</t>
        </is>
      </c>
      <c r="I10" s="34">
        <f>IFERROR(IF(SUM(C10:G10)&gt;24,"إجمالي &gt; 24 ساعة.",SUM(C10:G10)), "")</f>
        <v/>
      </c>
      <c r="J10" s="70" t="inlineStr">
        <is>
          <t xml:space="preserve">Cleaning work in villa </t>
        </is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Shahama complex</t>
        </is>
      </c>
      <c r="I11" s="28">
        <f>IFERROR(IF(SUM(C11:G11)&gt;24,"إجمالي &gt; 24 ساعة.",SUM(C11:G11)), "")</f>
        <v/>
      </c>
      <c r="J11" s="70" t="inlineStr">
        <is>
          <t>cleaning work in villa also  washing machine make</t>
        </is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inlineStr">
        <is>
          <t xml:space="preserve">Cleaning work in villa </t>
        </is>
      </c>
    </row>
    <row r="13" ht="32" customHeight="1" s="44">
      <c r="A13" s="62" t="n">
        <v>46060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inlineStr">
        <is>
          <t>Cleaning work in villa  also fix washbisan</t>
        </is>
      </c>
    </row>
    <row r="14" ht="32" customHeight="1" s="44">
      <c r="A14" s="62" t="n">
        <v>46061</v>
      </c>
      <c r="B14" s="71" t="inlineStr">
        <is>
          <t>W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Farm 826</t>
        </is>
      </c>
      <c r="I14" s="34">
        <f>IFERROR(IF(SUM(C14:G14)&gt;24,"إجمالي &gt; 24 ساعة.",SUM(C14:G14)), "")</f>
        <v/>
      </c>
      <c r="J14" s="70" t="inlineStr">
        <is>
          <t>Weekly off</t>
        </is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Shahama complex</t>
        </is>
      </c>
      <c r="I15" s="28">
        <f>IFERROR(IF(SUM(C15:G15)&gt;24,"إجمالي &gt; 24 ساعة.",SUM(C15:G15)), "")</f>
        <v/>
      </c>
      <c r="J15" s="70" t="inlineStr">
        <is>
          <t xml:space="preserve">Cleaning work in villa </t>
        </is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Shahama complex</t>
        </is>
      </c>
      <c r="I16" s="34">
        <f>IFERROR(IF(SUM(C16:G16)&gt;24,"إجمالي &gt; 24 ساعة.",SUM(C16:G16)), "")</f>
        <v/>
      </c>
      <c r="J16" s="70" t="inlineStr">
        <is>
          <t xml:space="preserve">Cleaning work in villa </t>
        </is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Shahama complex</t>
        </is>
      </c>
      <c r="I17" s="28">
        <f>IFERROR(IF(SUM(C17:G17)&gt;24,"إجمالي &gt; 24 ساعة.",SUM(C17:G17)), "")</f>
        <v/>
      </c>
      <c r="J17" s="70" t="inlineStr">
        <is>
          <t>Cleaning work in villa also. Ac service in flat 0.</t>
        </is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Shahama complex</t>
        </is>
      </c>
      <c r="I18" s="34">
        <f>IFERROR(IF(SUM(C18:G18)&gt;24,"إجمالي &gt; 24 ساعة.",SUM(C18:G18)), "")</f>
        <v/>
      </c>
      <c r="J18" s="70" t="inlineStr">
        <is>
          <t>he service  Ac of  flat 0+</t>
        </is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Shahama complex</t>
        </is>
      </c>
      <c r="I19" s="28">
        <f>IFERROR(IF(SUM(C19:G19)&gt;24,"إجمالي &gt; 24 ساعة.",SUM(C19:G19)), "")</f>
        <v/>
      </c>
      <c r="J19" s="70" t="inlineStr">
        <is>
          <t xml:space="preserve">painting and  cleaning work in villa </t>
        </is>
      </c>
    </row>
    <row r="20" ht="32" customHeight="1" s="44">
      <c r="A20" s="62" t="n">
        <v>46067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Shahama complex</t>
        </is>
      </c>
      <c r="I20" s="34">
        <f>IFERROR(IF(SUM(C20:G20)&gt;24,"إجمالي &gt; 24 ساعة.",SUM(C20:G20)), "")</f>
        <v/>
      </c>
      <c r="J20" s="70" t="inlineStr">
        <is>
          <t>Cleaning work in villa . also Ac work</t>
        </is>
      </c>
    </row>
    <row r="21" ht="32" customHeight="1" s="44">
      <c r="A21" s="61" t="n">
        <v>46068</v>
      </c>
      <c r="B21" s="68" t="inlineStr">
        <is>
          <t>W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n">
        <v/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Shahama complex</t>
        </is>
      </c>
      <c r="I22" s="34">
        <f>IFERROR(IF(SUM(C21:G21)&gt;24,"إجمالي &gt; 24 ساعة.",SUM(C21:G21)), "")</f>
        <v/>
      </c>
      <c r="J22" s="70" t="inlineStr">
        <is>
          <t xml:space="preserve">Cleaning work in villa </t>
        </is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Shahama complex</t>
        </is>
      </c>
      <c r="I23" s="28">
        <f>IFERROR(IF(SUM(C23:G23)&gt;24,"إجمالي &gt; 24 ساعة.",SUM(C23:G23)), "")</f>
        <v/>
      </c>
      <c r="J23" s="70" t="inlineStr">
        <is>
          <t xml:space="preserve">Cleaning work in villa 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Shahama complex</t>
        </is>
      </c>
      <c r="I24" s="34">
        <f>IFERROR(IF(SUM(C24:G24)&gt;24,"إجمالي &gt; 24 ساعة.",SUM(C24:G24)), "")</f>
        <v/>
      </c>
      <c r="J24" s="70" t="inlineStr">
        <is>
          <t xml:space="preserve">Cleaning work in villa </t>
        </is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Shahama complex</t>
        </is>
      </c>
      <c r="I25" s="28">
        <f>IFERROR(IF(SUM(C25:G25)&gt;24,"إجمالي &gt; 24 ساعة.",SUM(C25:G25)), "")</f>
        <v/>
      </c>
      <c r="J25" s="70" t="inlineStr">
        <is>
          <t xml:space="preserve">Cleaning work in villa </t>
        </is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Shahama complex</t>
        </is>
      </c>
      <c r="I26" s="34">
        <f>IFERROR(IF(SUM(C26:G26)&gt;24,"إجمالي &gt; 24 ساعة.",SUM(C26:G26)), "")</f>
        <v/>
      </c>
      <c r="J26" s="70" t="inlineStr">
        <is>
          <t xml:space="preserve">Ac work in flat 1. also  some lights change </t>
        </is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Shahama complex</t>
        </is>
      </c>
      <c r="I27" s="28">
        <f>IFERROR(IF(SUM(C27:G27)&gt;24,"إجمالي &gt; 24 ساعة.",SUM(C27:G27)), "")</f>
        <v/>
      </c>
      <c r="J27" s="70" t="inlineStr">
        <is>
          <t>he service  Ac of flat 5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>
        <v>1</v>
      </c>
      <c r="E28" s="74" t="n"/>
      <c r="F28" s="74" t="n"/>
      <c r="G28" s="29">
        <f>IF(B28="SL","SL","")</f>
        <v/>
      </c>
      <c r="H28" s="75" t="inlineStr">
        <is>
          <t>Al Shahama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Shahama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</t>
        </is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Shahama complex</t>
        </is>
      </c>
      <c r="I30" s="34">
        <f>IFERROR(IF(SUM(C30:G30)&gt;24,"إجمالي &gt; 24 ساعة.",SUM(C30:G30)), "")</f>
        <v/>
      </c>
      <c r="J30" s="70" t="inlineStr">
        <is>
          <t xml:space="preserve">Cleaning work in villa </t>
        </is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Shahama complex</t>
        </is>
      </c>
      <c r="I31" s="28">
        <f>IFERROR(IF(SUM(C31:G31)&gt;24,"إجمالي &gt; 24 ساعة.",SUM(C31:G31)), "")</f>
        <v/>
      </c>
      <c r="J31" s="70" t="inlineStr">
        <is>
          <t xml:space="preserve">Cleaning work in villa </t>
        </is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Shahama complex</t>
        </is>
      </c>
      <c r="I32" s="34">
        <f>IFERROR(IF(SUM(C32:G32)&gt;24,"إجمالي &gt; 24 ساعة.",SUM(C32:G32)), "")</f>
        <v/>
      </c>
      <c r="J32" s="70" t="inlineStr">
        <is>
          <t xml:space="preserve">Cleaning work in villa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Shahama complex</t>
        </is>
      </c>
      <c r="I33" s="28">
        <f>IFERROR(IF(SUM(C33:G33)&gt;24,"إجمالي &gt; 24 ساعة.",SUM(C33:G33)), "")</f>
        <v/>
      </c>
      <c r="J33" s="70" t="inlineStr">
        <is>
          <t xml:space="preserve">Cleaning work in villa </t>
        </is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Shahama complex</t>
        </is>
      </c>
      <c r="I34" s="34">
        <f>IFERROR(IF(SUM(C34:G34)&gt;24,"إجمالي &gt; 24 ساعة.",SUM(C34:G34)), "")</f>
        <v/>
      </c>
      <c r="J34" s="70" t="inlineStr">
        <is>
          <t xml:space="preserve">Cleaning work in villa 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رحمت الله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Salam Complex</t>
        </is>
      </c>
      <c r="I7" s="28">
        <f>IFERROR(IF(SUM(C7:G7)&gt;24,"إجمالي &gt; 24 ساعة.",SUM(C7:G7)), "")</f>
        <v/>
      </c>
      <c r="J7" s="70" t="inlineStr">
        <is>
          <t xml:space="preserve">Weekly off </t>
        </is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Karama Complex</t>
        </is>
      </c>
      <c r="I8" s="34">
        <f>IFERROR(IF(SUM(C8:G8)&gt;24,"إجمالي &gt; 24 ساعة.",SUM(C8:G8)), "")</f>
        <v/>
      </c>
      <c r="J8" s="70" t="inlineStr">
        <is>
          <t>painting work in alkarama  1</t>
        </is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Karama Complex</t>
        </is>
      </c>
      <c r="I9" s="28">
        <f>IFERROR(IF(SUM(C9:G9)&gt;24,"إجمالي &gt; 24 ساعة.",SUM(C9:G9)), "")</f>
        <v/>
      </c>
      <c r="J9" s="70" t="inlineStr">
        <is>
          <t>painting work in. alkarama villa 1</t>
        </is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Karama Complex</t>
        </is>
      </c>
      <c r="I10" s="34">
        <f>IFERROR(IF(SUM(C10:G10)&gt;24,"إجمالي &gt; 24 ساعة.",SUM(C10:G10)), "")</f>
        <v/>
      </c>
      <c r="J10" s="70" t="inlineStr">
        <is>
          <t>he changed lights also  cabinet work in alfoha  villa</t>
        </is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Karama Complex</t>
        </is>
      </c>
      <c r="I11" s="28">
        <f>IFERROR(IF(SUM(C11:G11)&gt;24,"إجمالي &gt; 24 ساعة.",SUM(C11:G11)), "")</f>
        <v/>
      </c>
      <c r="J11" s="70" t="inlineStr">
        <is>
          <t>he change light in  alkarma villa 1</t>
        </is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Karama Complex</t>
        </is>
      </c>
      <c r="I12" s="34">
        <f>IFERROR(IF(SUM(C12:G12)&gt;24,"إجمالي &gt; 24 ساعة.",SUM(C12:G12)), "")</f>
        <v/>
      </c>
      <c r="J12" s="70" t="inlineStr">
        <is>
          <t>painting work in alkarama 1</t>
        </is>
      </c>
    </row>
    <row r="13" ht="32" customHeight="1" s="44">
      <c r="A13" s="62" t="n">
        <v>46060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Saqia 20 5hrs + Farm 826 3hrs</t>
        </is>
      </c>
      <c r="I13" s="28">
        <f>IFERROR(IF(SUM(C13:G13)&gt;24,"إجمالي &gt; 24 ساعة.",SUM(C13:G13)), "")</f>
        <v/>
      </c>
      <c r="J13" s="70" t="inlineStr">
        <is>
          <t>Ac work also washbisan fix</t>
        </is>
      </c>
    </row>
    <row r="14" ht="32" customHeight="1" s="44">
      <c r="A14" s="62" t="n">
        <v>46061</v>
      </c>
      <c r="B14" s="71" t="inlineStr">
        <is>
          <t>W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Salam Complex</t>
        </is>
      </c>
      <c r="I14" s="34">
        <f>IFERROR(IF(SUM(C14:G14)&gt;24,"إجمالي &gt; 24 ساعة.",SUM(C14:G14)), "")</f>
        <v/>
      </c>
      <c r="J14" s="70" t="inlineStr">
        <is>
          <t xml:space="preserve">Weekly off </t>
        </is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Home`s Mr.Abdullah</t>
        </is>
      </c>
      <c r="I15" s="28">
        <f>IFERROR(IF(SUM(C15:G15)&gt;24,"إجمالي &gt; 24 ساعة.",SUM(C15:G15)), "")</f>
        <v/>
      </c>
      <c r="J15" s="70" t="inlineStr">
        <is>
          <t xml:space="preserve">alkarama villa 1  painting </t>
        </is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</t>
        </is>
      </c>
      <c r="I16" s="34">
        <f>IFERROR(IF(SUM(C16:G16)&gt;24,"إجمالي &gt; 24 ساعة.",SUM(C16:G16)), "")</f>
        <v/>
      </c>
      <c r="J16" s="70" t="inlineStr">
        <is>
          <t xml:space="preserve">today he work is watch man in compound </t>
        </is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Karama Complex</t>
        </is>
      </c>
      <c r="I17" s="28">
        <f>IFERROR(IF(SUM(C17:G17)&gt;24,"إجمالي &gt; 24 ساعة.",SUM(C17:G17)), "")</f>
        <v/>
      </c>
      <c r="J17" s="70" t="inlineStr">
        <is>
          <t>painting work in  krama  1</t>
        </is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Karama Complex</t>
        </is>
      </c>
      <c r="I18" s="34">
        <f>IFERROR(IF(SUM(C18:G18)&gt;24,"إجمالي &gt; 24 ساعة.",SUM(C18:G18)), "")</f>
        <v/>
      </c>
      <c r="J18" s="70" t="inlineStr">
        <is>
          <t xml:space="preserve">Cleaning work in villa also  painting work </t>
        </is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Shahama complex</t>
        </is>
      </c>
      <c r="I19" s="28">
        <f>IFERROR(IF(SUM(C19:G19)&gt;24,"إجمالي &gt; 24 ساعة.",SUM(C19:G19)), "")</f>
        <v/>
      </c>
      <c r="J19" s="70" t="inlineStr">
        <is>
          <t>painting work in flat 1</t>
        </is>
      </c>
    </row>
    <row r="20" ht="32" customHeight="1" s="44">
      <c r="A20" s="62" t="n">
        <v>46067</v>
      </c>
      <c r="B20" s="71" t="inlineStr">
        <is>
          <t>P</t>
        </is>
      </c>
      <c r="C20" s="72" t="n">
        <v>8</v>
      </c>
      <c r="D20" s="71" t="n">
        <v>1</v>
      </c>
      <c r="E20" s="74" t="n"/>
      <c r="F20" s="74" t="n"/>
      <c r="G20" s="29">
        <f>IF(B20="SL","SL","")</f>
        <v/>
      </c>
      <c r="H20" s="75" t="inlineStr">
        <is>
          <t>Al Salam Complex</t>
        </is>
      </c>
      <c r="I20" s="34">
        <f>IFERROR(IF(SUM(C20:G20)&gt;24,"إجمالي &gt; 24 ساعة.",SUM(C20:G20)), "")</f>
        <v/>
      </c>
      <c r="J20" s="70" t="inlineStr">
        <is>
          <t xml:space="preserve">Cleaning work in villa . also some  cement work. door repair main gate handle </t>
        </is>
      </c>
    </row>
    <row r="21" ht="32" customHeight="1" s="44">
      <c r="A21" s="61" t="n">
        <v>46068</v>
      </c>
      <c r="B21" s="68" t="inlineStr">
        <is>
          <t>W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n">
        <v/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 xml:space="preserve">he open Alsaada main gate. </t>
        </is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Saada Complex</t>
        </is>
      </c>
      <c r="I23" s="28">
        <f>IFERROR(IF(SUM(C23:G23)&gt;24,"إجمالي &gt; 24 ساعة.",SUM(C23:G23)), "")</f>
        <v/>
      </c>
      <c r="J23" s="70" t="inlineStr">
        <is>
          <t xml:space="preserve">he make  level for main gate 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Salam Complex</t>
        </is>
      </c>
      <c r="I24" s="34">
        <f>IFERROR(IF(SUM(C24:G24)&gt;24,"إجمالي &gt; 24 ساعة.",SUM(C24:G24)), "")</f>
        <v/>
      </c>
      <c r="J24" s="70" t="inlineStr">
        <is>
          <t xml:space="preserve">Cleaning work in villa </t>
        </is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Salam Complex</t>
        </is>
      </c>
      <c r="I25" s="28">
        <f>IFERROR(IF(SUM(C25:G25)&gt;24,"إجمالي &gt; 24 ساعة.",SUM(C25:G25)), "")</f>
        <v/>
      </c>
      <c r="J25" s="70" t="inlineStr">
        <is>
          <t xml:space="preserve">Cleaning work in villa </t>
        </is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Salam Complex</t>
        </is>
      </c>
      <c r="I26" s="34">
        <f>IFERROR(IF(SUM(C26:G26)&gt;24,"إجمالي &gt; 24 ساعة.",SUM(C26:G26)), "")</f>
        <v/>
      </c>
      <c r="J26" s="70" t="inlineStr">
        <is>
          <t xml:space="preserve">Cleaning work in villa </t>
        </is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Salam Complex</t>
        </is>
      </c>
      <c r="I27" s="28">
        <f>IFERROR(IF(SUM(C27:G27)&gt;24,"إجمالي &gt; 24 ساعة.",SUM(C27:G27)), "")</f>
        <v/>
      </c>
      <c r="J27" s="70" t="inlineStr">
        <is>
          <t xml:space="preserve">cleaning work in salam villa 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>
        <v>1</v>
      </c>
      <c r="E28" s="74" t="n"/>
      <c r="F28" s="74" t="n"/>
      <c r="G28" s="29">
        <f>IF(B28="SL","SL","")</f>
        <v/>
      </c>
      <c r="H28" s="75" t="inlineStr">
        <is>
          <t>Al Salam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Salam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</t>
        </is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Salam Complex</t>
        </is>
      </c>
      <c r="I30" s="34">
        <f>IFERROR(IF(SUM(C30:G30)&gt;24,"إجمالي &gt; 24 ساعة.",SUM(C30:G30)), "")</f>
        <v/>
      </c>
      <c r="J30" s="70" t="inlineStr">
        <is>
          <t xml:space="preserve">Cleaning work in villa </t>
        </is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Salam Complex</t>
        </is>
      </c>
      <c r="I31" s="28">
        <f>IFERROR(IF(SUM(C31:G31)&gt;24,"إجمالي &gt; 24 ساعة.",SUM(C31:G31)), "")</f>
        <v/>
      </c>
      <c r="J31" s="70" t="inlineStr">
        <is>
          <t xml:space="preserve">Cleaning work in villa </t>
        </is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Home`s Mr.Abdullah 4hrs + Al Karama Complex 4hrs</t>
        </is>
      </c>
      <c r="I32" s="34">
        <f>IFERROR(IF(SUM(C32:G32)&gt;24,"إجمالي &gt; 24 ساعة.",SUM(C32:G32)), "")</f>
        <v/>
      </c>
      <c r="J32" s="70" t="inlineStr">
        <is>
          <t xml:space="preserve">electric work in Baba home. krama 5 kitchen cabinet work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Salam Complex 2hrs + Masjid Al Karama 6hrs</t>
        </is>
      </c>
      <c r="I33" s="28">
        <f>IFERROR(IF(SUM(C33:G33)&gt;24,"إجمالي &gt; 24 ساعة.",SUM(C33:G33)), "")</f>
        <v/>
      </c>
      <c r="J33" s="70" t="inlineStr">
        <is>
          <t xml:space="preserve">Cleaning work in villa salam. Masjid he fix light </t>
        </is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Salam Complex</t>
        </is>
      </c>
      <c r="I34" s="34">
        <f>IFERROR(IF(SUM(C34:G34)&gt;24,"إجمالي &gt; 24 ساعة.",SUM(C34:G34)), "")</f>
        <v/>
      </c>
      <c r="J34" s="70" t="inlineStr">
        <is>
          <t xml:space="preserve">Cleaning work in villa salam. Masjid he fix light 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بلال احمد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Abdullah Aljunaibi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ادريس عجب كل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Farm 826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3</v>
      </c>
      <c r="E19" s="68" t="n"/>
      <c r="F19" s="68" t="n"/>
      <c r="G19" s="26">
        <f>IF(B19="SL","SL","")</f>
        <v/>
      </c>
      <c r="H19" s="69" t="inlineStr">
        <is>
          <t>Farm 826</t>
        </is>
      </c>
      <c r="I19" s="28">
        <f>IFERROR(IF(SUM(C19:G19)&gt;24,"إجمالي &gt; 24 ساعة.",SUM(C19:G19)), "")</f>
        <v/>
      </c>
      <c r="J19" s="70" t="inlineStr">
        <is>
          <t xml:space="preserve">ساعتين سابقات عن موقع وليد العماري </t>
        </is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Farm 826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Farm 826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Farm 826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Farm 826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Waleed Al Amari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Farm 826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 xml:space="preserve"> محمد عويس شير اكبر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Salem Al Zaabi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A</t>
        </is>
      </c>
      <c r="C23" s="68" t="n"/>
      <c r="D23" s="68" t="n"/>
      <c r="E23" s="68" t="n"/>
      <c r="F23" s="68" t="n"/>
      <c r="G23" s="26">
        <f>IF(B23="SL","SL","")</f>
        <v/>
      </c>
      <c r="H23" s="69" t="n">
        <v/>
      </c>
      <c r="I23" s="28">
        <f>IFERROR(IF(SUM(C23:G23)&gt;24,"إجمالي &gt; 24 ساعة.",SUM(C23:G23)), "")</f>
        <v/>
      </c>
      <c r="J23" s="70" t="inlineStr">
        <is>
          <t xml:space="preserve">عقاب يوم واحد له لعدم اتباع تعليمات الفورمان 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>
        <v>4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inlineStr">
        <is>
          <t xml:space="preserve">تنزيل تريلا بلاستر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نداء الله محمد ايوب خان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Home`s Mr.Abdullah</t>
        </is>
      </c>
      <c r="I7" s="28">
        <f>IFERROR(IF(SUM(C7:G7)&gt;24,"إجمالي &gt; 24 ساعة.",SUM(C7:G7)), "")</f>
        <v/>
      </c>
      <c r="J7" s="70" t="inlineStr">
        <is>
          <t>Weekly off</t>
        </is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Karama Complex</t>
        </is>
      </c>
      <c r="I8" s="34">
        <f>IFERROR(IF(SUM(C8:G8)&gt;24,"إجمالي &gt; 24 ساعة.",SUM(C8:G8)), "")</f>
        <v/>
      </c>
      <c r="J8" s="70" t="inlineStr">
        <is>
          <t xml:space="preserve">painting work in  alkarama </t>
        </is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Karama Complex</t>
        </is>
      </c>
      <c r="I9" s="28">
        <f>IFERROR(IF(SUM(C9:G9)&gt;24,"إجمالي &gt; 24 ساعة.",SUM(C9:G9)), "")</f>
        <v/>
      </c>
      <c r="J9" s="70" t="inlineStr">
        <is>
          <t>painting work in alkarama 1</t>
        </is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Karama Complex</t>
        </is>
      </c>
      <c r="I10" s="34">
        <f>IFERROR(IF(SUM(C10:G10)&gt;24,"إجمالي &gt; 24 ساعة.",SUM(C10:G10)), "")</f>
        <v/>
      </c>
      <c r="J10" s="70" t="inlineStr">
        <is>
          <t>he painting  work in alkarama 1</t>
        </is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Karama Complex</t>
        </is>
      </c>
      <c r="I11" s="28">
        <f>IFERROR(IF(SUM(C11:G11)&gt;24,"إجمالي &gt; 24 ساعة.",SUM(C11:G11)), "")</f>
        <v/>
      </c>
      <c r="J11" s="70" t="inlineStr">
        <is>
          <t xml:space="preserve">Cleaning work in villa . also painting work </t>
        </is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Karama Complex</t>
        </is>
      </c>
      <c r="I12" s="34">
        <f>IFERROR(IF(SUM(C12:G12)&gt;24,"إجمالي &gt; 24 ساعة.",SUM(C12:G12)), "")</f>
        <v/>
      </c>
      <c r="J12" s="70" t="inlineStr">
        <is>
          <t xml:space="preserve">painting work in villa 1 alkarama </t>
        </is>
      </c>
    </row>
    <row r="13" ht="32" customHeight="1" s="44">
      <c r="A13" s="62" t="n">
        <v>46060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M38_P107</t>
        </is>
      </c>
      <c r="I13" s="28">
        <f>IFERROR(IF(SUM(C13:G13)&gt;24,"إجمالي &gt; 24 ساعة.",SUM(C13:G13)), "")</f>
        <v/>
      </c>
      <c r="J13" s="70" t="inlineStr">
        <is>
          <t xml:space="preserve">water lake cheak in 107 building </t>
        </is>
      </c>
    </row>
    <row r="14" ht="32" customHeight="1" s="44">
      <c r="A14" s="62" t="n">
        <v>46061</v>
      </c>
      <c r="B14" s="71" t="inlineStr">
        <is>
          <t>W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Home`s Mr.Abdullah</t>
        </is>
      </c>
      <c r="I14" s="34">
        <f>IFERROR(IF(SUM(C14:G14)&gt;24,"إجمالي &gt; 24 ساعة.",SUM(C14:G14)), "")</f>
        <v/>
      </c>
      <c r="J14" s="70" t="inlineStr">
        <is>
          <t>Weekly off</t>
        </is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Karama Complex</t>
        </is>
      </c>
      <c r="I15" s="28">
        <f>IFERROR(IF(SUM(C15:G15)&gt;24,"إجمالي &gt; 24 ساعة.",SUM(C15:G15)), "")</f>
        <v/>
      </c>
      <c r="J15" s="70" t="inlineStr">
        <is>
          <t>painting work in villa 1</t>
        </is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</t>
        </is>
      </c>
      <c r="I16" s="34">
        <f>IFERROR(IF(SUM(C16:G16)&gt;24,"إجمالي &gt; 24 ساعة.",SUM(C16:G16)), "")</f>
        <v/>
      </c>
      <c r="J16" s="70" t="inlineStr">
        <is>
          <t>painting work in flat a2</t>
        </is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Al Karama Complex</t>
        </is>
      </c>
      <c r="I17" s="28">
        <f>IFERROR(IF(SUM(C17:G17)&gt;24,"إجمالي &gt; 24 ساعة.",SUM(C17:G17)), "")</f>
        <v/>
      </c>
      <c r="J17" s="70" t="inlineStr">
        <is>
          <t>painting work also. lights worke</t>
        </is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Karama Complex</t>
        </is>
      </c>
      <c r="I18" s="34">
        <f>IFERROR(IF(SUM(C18:G18)&gt;24,"إجمالي &gt; 24 ساعة.",SUM(C18:G18)), "")</f>
        <v/>
      </c>
      <c r="J18" s="70" t="inlineStr">
        <is>
          <t>he painting main door. of villa 1</t>
        </is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Karama Complex</t>
        </is>
      </c>
      <c r="I19" s="28">
        <f>IFERROR(IF(SUM(C19:G19)&gt;24,"إجمالي &gt; 24 ساعة.",SUM(C19:G19)), "")</f>
        <v/>
      </c>
      <c r="J19" s="70" t="inlineStr">
        <is>
          <t xml:space="preserve">Cleaning work in villa . and painting work </t>
        </is>
      </c>
    </row>
    <row r="20" ht="32" customHeight="1" s="44">
      <c r="A20" s="62" t="n">
        <v>46067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Karama Complex</t>
        </is>
      </c>
      <c r="I20" s="34">
        <f>IFERROR(IF(SUM(C20:G20)&gt;24,"إجمالي &gt; 24 ساعة.",SUM(C20:G20)), "")</f>
        <v/>
      </c>
      <c r="J20" s="70" t="inlineStr">
        <is>
          <t xml:space="preserve">Cleaning work in villa . </t>
        </is>
      </c>
    </row>
    <row r="21" ht="32" customHeight="1" s="44">
      <c r="A21" s="61" t="n">
        <v>46068</v>
      </c>
      <c r="B21" s="68" t="inlineStr">
        <is>
          <t>W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n">
        <v/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>he work of door</t>
        </is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Al Saada Complex 6hrs + Home`s Mr.Abdullah 2hrs</t>
        </is>
      </c>
      <c r="I23" s="28">
        <f>IFERROR(IF(SUM(C23:G23)&gt;24,"إجمالي &gt; 24 ساعة.",SUM(C23:G23)), "")</f>
        <v/>
      </c>
      <c r="J23" s="70" t="inlineStr">
        <is>
          <t xml:space="preserve">Alsaada gate work. also 130 villa kitchen cabinet work 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Saada Complex</t>
        </is>
      </c>
      <c r="I24" s="34">
        <f>IFERROR(IF(SUM(C24:G24)&gt;24,"إجمالي &gt; 24 ساعة.",SUM(C24:G24)), "")</f>
        <v/>
      </c>
      <c r="J24" s="70" t="inlineStr">
        <is>
          <t xml:space="preserve">he work is Watchmen bin Alsaada compound </t>
        </is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Saada Complex</t>
        </is>
      </c>
      <c r="I25" s="28">
        <f>IFERROR(IF(SUM(C25:G25)&gt;24,"إجمالي &gt; 24 ساعة.",SUM(C25:G25)), "")</f>
        <v/>
      </c>
      <c r="J25" s="70" t="inlineStr">
        <is>
          <t xml:space="preserve">he fixed door  locke access </t>
        </is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Saqia 72</t>
        </is>
      </c>
      <c r="I26" s="34">
        <f>IFERROR(IF(SUM(C26:G26)&gt;24,"إجمالي &gt; 24 ساعة.",SUM(C26:G26)), "")</f>
        <v/>
      </c>
      <c r="J26" s="70" t="inlineStr">
        <is>
          <t>he work with Jumma for wiring work</t>
        </is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Masjid Al Karama</t>
        </is>
      </c>
      <c r="I27" s="28">
        <f>IFERROR(IF(SUM(C27:G27)&gt;24,"إجمالي &gt; 24 ساعة.",SUM(C27:G27)), "")</f>
        <v/>
      </c>
      <c r="J27" s="70" t="inlineStr">
        <is>
          <t>he chak Ac with hafiz in alkarama masjid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Home`s Mr.Abdullah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Karama Complex</t>
        </is>
      </c>
      <c r="I29" s="28">
        <f>IFERROR(IF(SUM(C29:G29)&gt;24,"إجمالي &gt; 24 ساعة.",SUM(C29:G29)), "")</f>
        <v/>
      </c>
      <c r="J29" s="70" t="inlineStr">
        <is>
          <t>Cleaning work in villa  also repair work</t>
        </is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Karama Complex</t>
        </is>
      </c>
      <c r="I30" s="34">
        <f>IFERROR(IF(SUM(C30:G30)&gt;24,"إجمالي &gt; 24 ساعة.",SUM(C30:G30)), "")</f>
        <v/>
      </c>
      <c r="J30" s="70" t="inlineStr">
        <is>
          <t xml:space="preserve">he painting in alkarama. store </t>
        </is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Saqia 72</t>
        </is>
      </c>
      <c r="I31" s="28">
        <f>IFERROR(IF(SUM(C31:G31)&gt;24,"إجمالي &gt; 24 ساعة.",SUM(C31:G31)), "")</f>
        <v/>
      </c>
      <c r="J31" s="70" t="inlineStr">
        <is>
          <t xml:space="preserve">he work  with Jumma  for lights fixing </t>
        </is>
      </c>
    </row>
    <row r="32" ht="32" customHeight="1" s="44">
      <c r="A32" s="62" t="n">
        <v>46079</v>
      </c>
      <c r="B32" s="71" t="inlineStr">
        <is>
          <t>A</t>
        </is>
      </c>
      <c r="C32" s="72" t="n"/>
      <c r="D32" s="71" t="n"/>
      <c r="E32" s="74" t="n"/>
      <c r="F32" s="74" t="n"/>
      <c r="G32" s="29">
        <f>IF(B32="SL","SL","")</f>
        <v/>
      </c>
      <c r="H32" s="75" t="n">
        <v/>
      </c>
      <c r="I32" s="34">
        <f>IFERROR(IF(SUM(C32:G32)&gt;24,"إجمالي &gt; 24 ساعة.",SUM(C32:G32)), "")</f>
        <v/>
      </c>
      <c r="J32" s="70" t="inlineStr">
        <is>
          <t xml:space="preserve">he go mussafha for family members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Saqia 72</t>
        </is>
      </c>
      <c r="I33" s="28">
        <f>IFERROR(IF(SUM(C33:G33)&gt;24,"إجمالي &gt; 24 ساعة.",SUM(C33:G33)), "")</f>
        <v/>
      </c>
      <c r="J33" s="70" t="inlineStr">
        <is>
          <t>he fix light in p72 with jumma</t>
        </is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Karama Complex</t>
        </is>
      </c>
      <c r="I34" s="34">
        <f>IFERROR(IF(SUM(C34:G34)&gt;24,"إجمالي &gt; 24 ساعة.",SUM(C34:G34)), "")</f>
        <v/>
      </c>
      <c r="J34" s="70" t="inlineStr">
        <is>
          <t>he fix light in p72 with jumma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بلال خان سعيد رحمن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Home`s Mr.Abdullah</t>
        </is>
      </c>
      <c r="I7" s="28">
        <f>IFERROR(IF(SUM(C7:G7)&gt;24,"إجمالي &gt; 24 ساعة.",SUM(C7:G7)), "")</f>
        <v/>
      </c>
      <c r="J7" s="70" t="inlineStr">
        <is>
          <t xml:space="preserve">Weekly off </t>
        </is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Karama Complex</t>
        </is>
      </c>
      <c r="I8" s="34">
        <f>IFERROR(IF(SUM(C8:G8)&gt;24,"إجمالي &gt; 24 ساعة.",SUM(C8:G8)), "")</f>
        <v/>
      </c>
      <c r="J8" s="70" t="inlineStr">
        <is>
          <t>painting work in alkarama 1</t>
        </is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Karama Complex</t>
        </is>
      </c>
      <c r="I9" s="28">
        <f>IFERROR(IF(SUM(C9:G9)&gt;24,"إجمالي &gt; 24 ساعة.",SUM(C9:G9)), "")</f>
        <v/>
      </c>
      <c r="J9" s="70" t="inlineStr">
        <is>
          <t xml:space="preserve">painting work in  villa k1. </t>
        </is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Karama Complex</t>
        </is>
      </c>
      <c r="I10" s="34">
        <f>IFERROR(IF(SUM(C10:G10)&gt;24,"إجمالي &gt; 24 ساعة.",SUM(C10:G10)), "")</f>
        <v/>
      </c>
      <c r="J10" s="70" t="inlineStr">
        <is>
          <t>painting work in Alkarama 1. also he changed door handle villa 5</t>
        </is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Karama Complex</t>
        </is>
      </c>
      <c r="I11" s="28">
        <f>IFERROR(IF(SUM(C11:G11)&gt;24,"إجمالي &gt; 24 ساعة.",SUM(C11:G11)), "")</f>
        <v/>
      </c>
      <c r="J11" s="70" t="inlineStr">
        <is>
          <t>he make water pipe. also  light change in villa 1</t>
        </is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Karama Complex</t>
        </is>
      </c>
      <c r="I12" s="34">
        <f>IFERROR(IF(SUM(C12:G12)&gt;24,"إجمالي &gt; 24 ساعة.",SUM(C12:G12)), "")</f>
        <v/>
      </c>
      <c r="J12" s="70" t="inlineStr">
        <is>
          <t>Ciramic fix in villa 1 karama</t>
        </is>
      </c>
    </row>
    <row r="13" ht="32" customHeight="1" s="44">
      <c r="A13" s="62" t="n">
        <v>46060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Karama Complex</t>
        </is>
      </c>
      <c r="I13" s="28">
        <f>IFERROR(IF(SUM(C13:G13)&gt;24,"إجمالي &gt; 24 ساعة.",SUM(C13:G13)), "")</f>
        <v/>
      </c>
      <c r="J13" s="70" t="inlineStr">
        <is>
          <t xml:space="preserve">water pump change also cleaning work </t>
        </is>
      </c>
    </row>
    <row r="14" ht="32" customHeight="1" s="44">
      <c r="A14" s="62" t="n">
        <v>46061</v>
      </c>
      <c r="B14" s="71" t="inlineStr">
        <is>
          <t>W</t>
        </is>
      </c>
      <c r="C14" s="72" t="n">
        <v>8</v>
      </c>
      <c r="D14" s="71" t="n"/>
      <c r="E14" s="74" t="n">
        <v>1</v>
      </c>
      <c r="F14" s="74" t="n"/>
      <c r="G14" s="29">
        <f>IF(B14="SL","SL","")</f>
        <v/>
      </c>
      <c r="H14" s="75" t="inlineStr">
        <is>
          <t>Home`s Mr.Abdullah</t>
        </is>
      </c>
      <c r="I14" s="34">
        <f>IFERROR(IF(SUM(C14:G14)&gt;24,"إجمالي &gt; 24 ساعة.",SUM(C14:G14)), "")</f>
        <v/>
      </c>
      <c r="J14" s="70" t="inlineStr">
        <is>
          <t xml:space="preserve">Weekly off </t>
        </is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Home`s Mr.Abdullah</t>
        </is>
      </c>
      <c r="I15" s="28">
        <f>IFERROR(IF(SUM(C15:G15)&gt;24,"إجمالي &gt; 24 ساعة.",SUM(C15:G15)), "")</f>
        <v/>
      </c>
      <c r="J15" s="70" t="inlineStr">
        <is>
          <t xml:space="preserve">doors work </t>
        </is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Karama Complex</t>
        </is>
      </c>
      <c r="I16" s="34">
        <f>IFERROR(IF(SUM(C16:G16)&gt;24,"إجمالي &gt; 24 ساعة.",SUM(C16:G16)), "")</f>
        <v/>
      </c>
      <c r="J16" s="70" t="inlineStr">
        <is>
          <t>painting work in villa 1.</t>
        </is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Al Karama Complex</t>
        </is>
      </c>
      <c r="I17" s="28">
        <f>IFERROR(IF(SUM(C17:G17)&gt;24,"إجمالي &gt; 24 ساعة.",SUM(C17:G17)), "")</f>
        <v/>
      </c>
      <c r="J17" s="70" t="inlineStr">
        <is>
          <t>painting work in villa 1.villa 5 light work also door work</t>
        </is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Karama Complex 5hrs + Home`s Mr.Abdullah 3hrs</t>
        </is>
      </c>
      <c r="I18" s="34">
        <f>IFERROR(IF(SUM(C18:G18)&gt;24,"إجمالي &gt; 24 ساعة.",SUM(C18:G18)), "")</f>
        <v/>
      </c>
      <c r="J18" s="70" t="inlineStr">
        <is>
          <t>he make. sun shade on water tankin villa alkarama 1.also 128villa water leakage cheak up</t>
        </is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Al Karama Complex</t>
        </is>
      </c>
      <c r="I19" s="28">
        <f>IFERROR(IF(SUM(C19:G19)&gt;24,"إجمالي &gt; 24 ساعة.",SUM(C19:G19)), "")</f>
        <v/>
      </c>
      <c r="J19" s="70" t="inlineStr">
        <is>
          <t>painting work  . water pump work. water leaking work</t>
        </is>
      </c>
    </row>
    <row r="20" ht="32" customHeight="1" s="44">
      <c r="A20" s="62" t="n">
        <v>46067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Karama Complex</t>
        </is>
      </c>
      <c r="I20" s="34">
        <f>IFERROR(IF(SUM(C20:G20)&gt;24,"إجمالي &gt; 24 ساعة.",SUM(C20:G20)), "")</f>
        <v/>
      </c>
      <c r="J20" s="70" t="inlineStr">
        <is>
          <t xml:space="preserve">he fixed   ventilation fan. also cleaning work </t>
        </is>
      </c>
    </row>
    <row r="21" ht="32" customHeight="1" s="44">
      <c r="A21" s="61" t="n">
        <v>46068</v>
      </c>
      <c r="B21" s="68" t="inlineStr">
        <is>
          <t>W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n">
        <v/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 xml:space="preserve">he remove interlocking also fixing </t>
        </is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Home`s Mr.Abdullah 2hrs + Al Saada Complex 6hrs</t>
        </is>
      </c>
      <c r="I23" s="28">
        <f>IFERROR(IF(SUM(C23:G23)&gt;24,"إجمالي &gt; 24 ساعة.",SUM(C23:G23)), "")</f>
        <v/>
      </c>
      <c r="J23" s="70" t="inlineStr">
        <is>
          <t xml:space="preserve">Alsaada gate work. 130 villa  kitchen cabinet work 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Karama Complex</t>
        </is>
      </c>
      <c r="I24" s="34">
        <f>IFERROR(IF(SUM(C24:G24)&gt;24,"إجمالي &gt; 24 ساعة.",SUM(C24:G24)), "")</f>
        <v/>
      </c>
      <c r="J24" s="70" t="inlineStr">
        <is>
          <t xml:space="preserve">Cleaning work in villa </t>
        </is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Karama Complex</t>
        </is>
      </c>
      <c r="I25" s="28">
        <f>IFERROR(IF(SUM(C25:G25)&gt;24,"إجمالي &gt; 24 ساعة.",SUM(C25:G25)), "")</f>
        <v/>
      </c>
      <c r="J25" s="70" t="inlineStr">
        <is>
          <t xml:space="preserve">he give water in Alsaada. also cleaning work in alkarama </t>
        </is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>
        <v>3</v>
      </c>
      <c r="E26" s="74" t="n"/>
      <c r="F26" s="74" t="n"/>
      <c r="G26" s="29">
        <f>IF(B26="SL","SL","")</f>
        <v/>
      </c>
      <c r="H26" s="75" t="inlineStr">
        <is>
          <t>Al Saada Complex</t>
        </is>
      </c>
      <c r="I26" s="34">
        <f>IFERROR(IF(SUM(C26:G26)&gt;24,"إجمالي &gt; 24 ساعة.",SUM(C26:G26)), "")</f>
        <v/>
      </c>
      <c r="J26" s="70" t="inlineStr">
        <is>
          <t xml:space="preserve">Cleaning work in villa also door man works </t>
        </is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>
        <v>1</v>
      </c>
      <c r="E27" s="68" t="n"/>
      <c r="F27" s="68" t="n"/>
      <c r="G27" s="26">
        <f>IF(B27="SL","SL","")</f>
        <v/>
      </c>
      <c r="H27" s="69" t="inlineStr">
        <is>
          <t>Al Saada Complex</t>
        </is>
      </c>
      <c r="I27" s="28">
        <f>IFERROR(IF(SUM(C27:G27)&gt;24,"إجمالي &gt; 24 ساعة.",SUM(C27:G27)), "")</f>
        <v/>
      </c>
      <c r="J27" s="70" t="inlineStr">
        <is>
          <t xml:space="preserve">Cleaning work in villa  also lights change. 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>
        <v>1</v>
      </c>
      <c r="E28" s="74" t="n"/>
      <c r="F28" s="74" t="n"/>
      <c r="G28" s="29">
        <f>IF(B28="SL","SL","")</f>
        <v/>
      </c>
      <c r="H28" s="75" t="inlineStr">
        <is>
          <t>Home`s Mr.Abdullah</t>
        </is>
      </c>
      <c r="I28" s="34">
        <f>IFERROR(IF(SUM(C28:G28)&gt;24,"إجمالي &gt; 24 ساعة.",SUM(C28:G28)), "")</f>
        <v/>
      </c>
      <c r="J28" s="70" t="inlineStr">
        <is>
          <t xml:space="preserve">Weekend also cleaning work </t>
        </is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Karama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</t>
        </is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Karama Complex</t>
        </is>
      </c>
      <c r="I30" s="34">
        <f>IFERROR(IF(SUM(C30:G30)&gt;24,"إجمالي &gt; 24 ساعة.",SUM(C30:G30)), "")</f>
        <v/>
      </c>
      <c r="J30" s="70" t="inlineStr">
        <is>
          <t>he check water leaking in villa k4</t>
        </is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Karama Complex</t>
        </is>
      </c>
      <c r="I31" s="28">
        <f>IFERROR(IF(SUM(C31:G31)&gt;24,"إجمالي &gt; 24 ساعة.",SUM(C31:G31)), "")</f>
        <v/>
      </c>
      <c r="J31" s="70" t="inlineStr">
        <is>
          <t>cleaning work in villA also 130 villa kitchen work</t>
        </is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>
        <v>1</v>
      </c>
      <c r="E32" s="74" t="n"/>
      <c r="F32" s="74" t="n"/>
      <c r="G32" s="29">
        <f>IF(B32="SL","SL","")</f>
        <v/>
      </c>
      <c r="H32" s="75" t="inlineStr">
        <is>
          <t>Saqia 72</t>
        </is>
      </c>
      <c r="I32" s="34">
        <f>IFERROR(IF(SUM(C32:G32)&gt;24,"إجمالي &gt; 24 ساعة.",SUM(C32:G32)), "")</f>
        <v/>
      </c>
      <c r="J32" s="70" t="inlineStr">
        <is>
          <t>he fix light in p72 store . also he fix water issues in masjid alkarma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Masjid Al Karama</t>
        </is>
      </c>
      <c r="I33" s="28">
        <f>IFERROR(IF(SUM(C33:G33)&gt;24,"إجمالي &gt; 24 ساعة.",SUM(C33:G33)), "")</f>
        <v/>
      </c>
      <c r="J33" s="70" t="inlineStr">
        <is>
          <t xml:space="preserve">lights fix in Masjid alkarama </t>
        </is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Karama Complex</t>
        </is>
      </c>
      <c r="I34" s="34">
        <f>IFERROR(IF(SUM(C34:G34)&gt;24,"إجمالي &gt; 24 ساعة.",SUM(C34:G34)), "")</f>
        <v/>
      </c>
      <c r="J34" s="70" t="inlineStr">
        <is>
          <t xml:space="preserve">lights fix in Masjid alkarama 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ميلكامو مولا بيليو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Saeed Al Zubaidi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Salem Al Zaabi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>
        <v>4</v>
      </c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inlineStr">
        <is>
          <t xml:space="preserve">تنزيل تريلا البلاستر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امارى ميسقى وبيتو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Waleed Al Amari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Saeed Al Zubaidi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Abdullah Aljunaibi 8hrs + nan 0hrs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Waleed Al Amari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ابابو موجيس نيجيس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nan 0hrs + Salem Al Zaabi 8hrs + nan 0hrs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Abdullah Aljunaibi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n">
        <v/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Abdullah Aljunaibi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باجر انجلال شارهان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Abdullah Aljunaibi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Abdullah Aljunaibi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Farm 826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Waleed Al Amari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Abdullah Aljunaibi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Abdullah Aljunaibi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Abdullah Aljunaibi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Farm 826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Farm 826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Farm 826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Abdullah Aljunaibi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Abdullah Aljunaibi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Abdullah Aljunaibi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Abdullah Aljunaibi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Abdullah Aljunaibi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Waleed Al Amari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Farm 826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Farm 826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Farm 826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Abdullah Aljunaibi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Farm 826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1000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 xml:space="preserve"> كليم الله شيرال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P</t>
        </is>
      </c>
      <c r="C7" s="68" t="n">
        <v>8</v>
      </c>
      <c r="D7" s="68" t="n">
        <v>2</v>
      </c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>
        <v>2</v>
      </c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1</v>
      </c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46060</v>
      </c>
      <c r="B13" s="68" t="inlineStr">
        <is>
          <t>W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>
        <v>2</v>
      </c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>
        <v>2</v>
      </c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Salem Al Zaabi</t>
        </is>
      </c>
      <c r="I19" s="28">
        <f>IFERROR(IF(SUM(C19:G19)&gt;24,"إجمالي &gt; 24 ساعة.",SUM(C19:G19)), "")</f>
        <v/>
      </c>
      <c r="J19" s="70" t="n">
        <v/>
      </c>
    </row>
    <row r="20" ht="32" customHeight="1" s="44">
      <c r="A20" s="62" t="n">
        <v>46067</v>
      </c>
      <c r="B20" s="71" t="inlineStr">
        <is>
          <t>W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Salem Al Zaabi</t>
        </is>
      </c>
      <c r="I20" s="34">
        <f>IFERROR(IF(SUM(C20:G20)&gt;24,"إجمالي &gt; 24 ساعة.",SUM(C20:G20)), "")</f>
        <v/>
      </c>
      <c r="J20" s="70" t="inlineStr">
        <is>
          <t>Weekend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2</v>
      </c>
      <c r="E21" s="68" t="n"/>
      <c r="F21" s="68" t="n"/>
      <c r="G21" s="26">
        <f>IF(B21="SL","SL","")</f>
        <v/>
      </c>
      <c r="H21" s="69" t="inlineStr">
        <is>
          <t>Salem Al Zaabi</t>
        </is>
      </c>
      <c r="I21" s="28">
        <f>IFERROR(IF(SUM(C21:G21)&gt;24,"إجمالي &gt; 24 ساعة.",SUM(C21:G21)), "")</f>
        <v/>
      </c>
      <c r="J21" s="70" t="n">
        <v/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2</v>
      </c>
      <c r="E22" s="74" t="n"/>
      <c r="F22" s="74" t="n"/>
      <c r="G22" s="29">
        <f>IF(B21="SL","SL","")</f>
        <v/>
      </c>
      <c r="H22" s="75" t="inlineStr">
        <is>
          <t>Salem Al Zaabi</t>
        </is>
      </c>
      <c r="I22" s="34">
        <f>IFERROR(IF(SUM(C21:G21)&gt;24,"إجمالي &gt; 24 ساعة.",SUM(C21:G21)), "")</f>
        <v/>
      </c>
      <c r="J22" s="70" t="n">
        <v/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2</v>
      </c>
      <c r="E23" s="68" t="n"/>
      <c r="F23" s="68" t="n"/>
      <c r="G23" s="26">
        <f>IF(B23="SL","SL","")</f>
        <v/>
      </c>
      <c r="H23" s="69" t="inlineStr">
        <is>
          <t>Salem Al Zaabi</t>
        </is>
      </c>
      <c r="I23" s="28">
        <f>IFERROR(IF(SUM(C23:G23)&gt;24,"إجمالي &gt; 24 ساعة.",SUM(C23:G23)), "")</f>
        <v/>
      </c>
      <c r="J23" s="70" t="n">
        <v/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Salem Al Zaabi</t>
        </is>
      </c>
      <c r="I24" s="34">
        <f>IFERROR(IF(SUM(C24:G24)&gt;24,"إجمالي &gt; 24 ساعة.",SUM(C24:G24)), "")</f>
        <v/>
      </c>
      <c r="J24" s="70" t="n">
        <v/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Salem Al Zaabi</t>
        </is>
      </c>
      <c r="I25" s="28">
        <f>IFERROR(IF(SUM(C25:G25)&gt;24,"إجمالي &gt; 24 ساعة.",SUM(C25:G25)), "")</f>
        <v/>
      </c>
      <c r="J25" s="70" t="n">
        <v/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Salem Al Zaabi</t>
        </is>
      </c>
      <c r="I26" s="34">
        <f>IFERROR(IF(SUM(C26:G26)&gt;24,"إجمالي &gt; 24 ساعة.",SUM(C26:G26)), "")</f>
        <v/>
      </c>
      <c r="J26" s="70" t="n">
        <v/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Salem Al Zaabi</t>
        </is>
      </c>
      <c r="I27" s="28">
        <f>IFERROR(IF(SUM(C27:G27)&gt;24,"إجمالي &gt; 24 ساعة.",SUM(C27:G27)), "")</f>
        <v/>
      </c>
      <c r="J27" s="70" t="inlineStr">
        <is>
          <t>Weekend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Salem Al Zaabi</t>
        </is>
      </c>
      <c r="I28" s="34">
        <f>IFERROR(IF(SUM(C28:G28)&gt;24,"إجمالي &gt; 24 ساعة.",SUM(C28:G28)), "")</f>
        <v/>
      </c>
      <c r="J28" s="70" t="n">
        <v/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Salem Al Zaabi</t>
        </is>
      </c>
      <c r="I29" s="28">
        <f>IFERROR(IF(SUM(C29:G29)&gt;24,"إجمالي &gt; 24 ساعة.",SUM(C29:G29)), "")</f>
        <v/>
      </c>
      <c r="J29" s="70" t="n">
        <v/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Salem Al Zaabi</t>
        </is>
      </c>
      <c r="I30" s="34">
        <f>IFERROR(IF(SUM(C30:G30)&gt;24,"إجمالي &gt; 24 ساعة.",SUM(C30:G30)), "")</f>
        <v/>
      </c>
      <c r="J30" s="70" t="n">
        <v/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Salem Al Zaabi</t>
        </is>
      </c>
      <c r="I31" s="28">
        <f>IFERROR(IF(SUM(C31:G31)&gt;24,"إجمالي &gt; 24 ساعة.",SUM(C31:G31)), "")</f>
        <v/>
      </c>
      <c r="J31" s="70" t="n">
        <v/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Salem Al Zaabi</t>
        </is>
      </c>
      <c r="I32" s="34">
        <f>IFERROR(IF(SUM(C32:G32)&gt;24,"إجمالي &gt; 24 ساعة.",SUM(C32:G32)), "")</f>
        <v/>
      </c>
      <c r="J32" s="70" t="n">
        <v/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Salem Al Zaabi</t>
        </is>
      </c>
      <c r="I33" s="28">
        <f>IFERROR(IF(SUM(C33:G33)&gt;24,"إجمالي &gt; 24 ساعة.",SUM(C33:G33)), "")</f>
        <v/>
      </c>
      <c r="J33" s="70" t="n">
        <v/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Salem Al Zaabi</t>
        </is>
      </c>
      <c r="I34" s="34">
        <f>IFERROR(IF(SUM(C34:G34)&gt;24,"إجمالي &gt; 24 ساعة.",SUM(C34:G34)), "")</f>
        <v/>
      </c>
      <c r="J34" s="70" t="inlineStr">
        <is>
          <t>Weekend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شاهجان جازى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 xml:space="preserve">Weekly off </t>
        </is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Saada Complex</t>
        </is>
      </c>
      <c r="I8" s="34">
        <f>IFERROR(IF(SUM(C8:G8)&gt;24,"إجمالي &gt; 24 ساعة.",SUM(C8:G8)), "")</f>
        <v/>
      </c>
      <c r="J8" s="70" t="inlineStr">
        <is>
          <t xml:space="preserve">Cleaning work in villa </t>
        </is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Saada Complex</t>
        </is>
      </c>
      <c r="I9" s="28">
        <f>IFERROR(IF(SUM(C9:G9)&gt;24,"إجمالي &gt; 24 ساعة.",SUM(C9:G9)), "")</f>
        <v/>
      </c>
      <c r="J9" s="70" t="inlineStr">
        <is>
          <t xml:space="preserve">Cleaning work in villa </t>
        </is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</t>
        </is>
      </c>
      <c r="I10" s="34">
        <f>IFERROR(IF(SUM(C10:G10)&gt;24,"إجمالي &gt; 24 ساعة.",SUM(C10:G10)), "")</f>
        <v/>
      </c>
      <c r="J10" s="70" t="inlineStr">
        <is>
          <t xml:space="preserve">Cleaning work in villa </t>
        </is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Saada Complex</t>
        </is>
      </c>
      <c r="I11" s="28">
        <f>IFERROR(IF(SUM(C11:G11)&gt;24,"إجمالي &gt; 24 ساعة.",SUM(C11:G11)), "")</f>
        <v/>
      </c>
      <c r="J11" s="70" t="inlineStr">
        <is>
          <t xml:space="preserve">cleaning worke in  Alsaada compound </t>
        </is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Saada Complex</t>
        </is>
      </c>
      <c r="I12" s="34">
        <f>IFERROR(IF(SUM(C12:G12)&gt;24,"إجمالي &gt; 24 ساعة.",SUM(C12:G12)), "")</f>
        <v/>
      </c>
      <c r="J12" s="70" t="inlineStr">
        <is>
          <t xml:space="preserve">Cleaning work in villa </t>
        </is>
      </c>
    </row>
    <row r="13" ht="32" customHeight="1" s="44">
      <c r="A13" s="62" t="n">
        <v>46060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Saada Complex</t>
        </is>
      </c>
      <c r="I13" s="28">
        <f>IFERROR(IF(SUM(C13:G13)&gt;24,"إجمالي &gt; 24 ساعة.",SUM(C13:G13)), "")</f>
        <v/>
      </c>
      <c r="J13" s="70" t="inlineStr">
        <is>
          <t xml:space="preserve">Cleaning work in villa </t>
        </is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Saada Complex</t>
        </is>
      </c>
      <c r="I14" s="34">
        <f>IFERROR(IF(SUM(C14:G14)&gt;24,"إجمالي &gt; 24 ساعة.",SUM(C14:G14)), "")</f>
        <v/>
      </c>
      <c r="J14" s="70" t="inlineStr">
        <is>
          <t xml:space="preserve">Weekly off </t>
        </is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Saada Complex</t>
        </is>
      </c>
      <c r="I15" s="28">
        <f>IFERROR(IF(SUM(C15:G15)&gt;24,"إجمالي &gt; 24 ساعة.",SUM(C15:G15)), "")</f>
        <v/>
      </c>
      <c r="J15" s="70" t="inlineStr">
        <is>
          <t xml:space="preserve">Cleaning work in villa </t>
        </is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</t>
        </is>
      </c>
      <c r="I16" s="34">
        <f>IFERROR(IF(SUM(C16:G16)&gt;24,"إجمالي &gt; 24 ساعة.",SUM(C16:G16)), "")</f>
        <v/>
      </c>
      <c r="J16" s="70" t="inlineStr">
        <is>
          <t>he works is a door man</t>
        </is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 xml:space="preserve">b2 attand also door watching </t>
        </is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Saada Complex</t>
        </is>
      </c>
      <c r="I18" s="34">
        <f>IFERROR(IF(SUM(C18:G18)&gt;24,"إجمالي &gt; 24 ساعة.",SUM(C18:G18)), "")</f>
        <v/>
      </c>
      <c r="J18" s="70" t="inlineStr">
        <is>
          <t xml:space="preserve">Cleaning work in villa also look door . </t>
        </is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Saada Complex</t>
        </is>
      </c>
      <c r="I19" s="28">
        <f>IFERROR(IF(SUM(C19:G19)&gt;24,"إجمالي &gt; 24 ساعة.",SUM(C19:G19)), "")</f>
        <v/>
      </c>
      <c r="J19" s="70" t="inlineStr">
        <is>
          <t xml:space="preserve">Cleaning work in villa  also door looking </t>
        </is>
      </c>
    </row>
    <row r="20" ht="32" customHeight="1" s="44">
      <c r="A20" s="62" t="n">
        <v>46067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Saada Complex</t>
        </is>
      </c>
      <c r="I20" s="34">
        <f>IFERROR(IF(SUM(C20:G20)&gt;24,"إجمالي &gt; 24 ساعة.",SUM(C20:G20)), "")</f>
        <v/>
      </c>
      <c r="J20" s="70" t="inlineStr">
        <is>
          <t xml:space="preserve">he work at night  door man work </t>
        </is>
      </c>
    </row>
    <row r="21" ht="32" customHeight="1" s="44">
      <c r="A21" s="61" t="n">
        <v>46068</v>
      </c>
      <c r="B21" s="68" t="inlineStr">
        <is>
          <t>W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n">
        <v/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 xml:space="preserve">Cleaning work in villa </t>
        </is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Saada Complex</t>
        </is>
      </c>
      <c r="I23" s="28">
        <f>IFERROR(IF(SUM(C23:G23)&gt;24,"إجمالي &gt; 24 ساعة.",SUM(C23:G23)), "")</f>
        <v/>
      </c>
      <c r="J23" s="70" t="inlineStr">
        <is>
          <t>Watchmen  work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Saada Complex</t>
        </is>
      </c>
      <c r="I24" s="34">
        <f>IFERROR(IF(SUM(C24:G24)&gt;24,"إجمالي &gt; 24 ساعة.",SUM(C24:G24)), "")</f>
        <v/>
      </c>
      <c r="J24" s="70" t="inlineStr">
        <is>
          <t xml:space="preserve">Cleaning work in villa </t>
        </is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Saada Complex</t>
        </is>
      </c>
      <c r="I25" s="28">
        <f>IFERROR(IF(SUM(C25:G25)&gt;24,"إجمالي &gt; 24 ساعة.",SUM(C25:G25)), "")</f>
        <v/>
      </c>
      <c r="J25" s="70" t="inlineStr">
        <is>
          <t>he  cleaning in compound also  door man work</t>
        </is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Saada Complex</t>
        </is>
      </c>
      <c r="I26" s="34">
        <f>IFERROR(IF(SUM(C26:G26)&gt;24,"إجمالي &gt; 24 ساعة.",SUM(C26:G26)), "")</f>
        <v/>
      </c>
      <c r="J26" s="70" t="inlineStr">
        <is>
          <t xml:space="preserve">he work is a door man in compound </t>
        </is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Saada Complex</t>
        </is>
      </c>
      <c r="I27" s="28">
        <f>IFERROR(IF(SUM(C27:G27)&gt;24,"إجمالي &gt; 24 ساعة.",SUM(C27:G27)), "")</f>
        <v/>
      </c>
      <c r="J27" s="70" t="inlineStr">
        <is>
          <t xml:space="preserve">he work is doorman work 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Saada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Saada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. a. and d stair case cleaning </t>
        </is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Saada Complex</t>
        </is>
      </c>
      <c r="I30" s="34">
        <f>IFERROR(IF(SUM(C30:G30)&gt;24,"إجمالي &gt; 24 ساعة.",SUM(C30:G30)), "")</f>
        <v/>
      </c>
      <c r="J30" s="70" t="inlineStr">
        <is>
          <t xml:space="preserve">Cleaning work in villa </t>
        </is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Saada Complex</t>
        </is>
      </c>
      <c r="I31" s="28">
        <f>IFERROR(IF(SUM(C31:G31)&gt;24,"إجمالي &gt; 24 ساعة.",SUM(C31:G31)), "")</f>
        <v/>
      </c>
      <c r="J31" s="70" t="inlineStr">
        <is>
          <t xml:space="preserve">Cleaning work in villa </t>
        </is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Saada Complex</t>
        </is>
      </c>
      <c r="I32" s="34">
        <f>IFERROR(IF(SUM(C32:G32)&gt;24,"إجمالي &gt; 24 ساعة.",SUM(C32:G32)), "")</f>
        <v/>
      </c>
      <c r="J32" s="70" t="inlineStr">
        <is>
          <t xml:space="preserve">Cleaning work in villa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Saada Complex</t>
        </is>
      </c>
      <c r="I33" s="28">
        <f>IFERROR(IF(SUM(C33:G33)&gt;24,"إجمالي &gt; 24 ساعة.",SUM(C33:G33)), "")</f>
        <v/>
      </c>
      <c r="J33" s="70" t="inlineStr">
        <is>
          <t xml:space="preserve">Cleaning work in villa also give water to plant </t>
        </is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Saada Complex</t>
        </is>
      </c>
      <c r="I34" s="34">
        <f>IFERROR(IF(SUM(C34:G34)&gt;24,"إجمالي &gt; 24 ساعة.",SUM(C34:G34)), "")</f>
        <v/>
      </c>
      <c r="J34" s="70" t="inlineStr">
        <is>
          <t xml:space="preserve">Cleaning work in villa also give water to plant 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IFTHIKAR ALI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46069</v>
      </c>
      <c r="B7" s="68" t="inlineStr">
        <is>
          <t>P</t>
        </is>
      </c>
      <c r="C7" s="68" t="n"/>
      <c r="D7" s="68" t="n"/>
      <c r="E7" s="68" t="n"/>
      <c r="F7" s="68" t="n"/>
      <c r="G7" s="26" t="n"/>
      <c r="H7" s="69" t="n">
        <v/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46079</v>
      </c>
      <c r="B8" s="71" t="inlineStr">
        <is>
          <t>P</t>
        </is>
      </c>
      <c r="C8" s="72" t="n"/>
      <c r="D8" s="71" t="n"/>
      <c r="E8" s="73" t="n"/>
      <c r="F8" s="74" t="n"/>
      <c r="G8" s="29">
        <f>IF(B8="SL","SL","")</f>
        <v/>
      </c>
      <c r="H8" s="75" t="n">
        <v/>
      </c>
      <c r="I8" s="34">
        <f>IFERROR(IF(SUM(C8:G8)&gt;24,"إجمالي &gt; 24 ساعة.",SUM(C8:G8)), "")</f>
        <v/>
      </c>
      <c r="J8" s="70" t="n">
        <v/>
      </c>
    </row>
    <row r="9" ht="30" customHeight="1" s="44">
      <c r="A9" s="61" t="n"/>
      <c r="B9" s="68" t="n"/>
      <c r="C9" s="68" t="n"/>
      <c r="D9" s="68" t="n"/>
      <c r="E9" s="68" t="n"/>
      <c r="F9" s="68" t="n"/>
      <c r="G9" s="26">
        <f>IF(B9="SL","SL","")</f>
        <v/>
      </c>
      <c r="H9" s="69" t="n"/>
      <c r="I9" s="28">
        <f>IFERROR(IF(SUM(C9:G9)&gt;24,"إجمالي &gt; 24 ساعة.",SUM(C9:G9)), "")</f>
        <v/>
      </c>
      <c r="J9" s="77" t="n"/>
    </row>
    <row r="10" ht="30" customHeight="1" s="44">
      <c r="A10" s="62" t="n"/>
      <c r="B10" s="71" t="n"/>
      <c r="C10" s="72" t="n"/>
      <c r="D10" s="71" t="n"/>
      <c r="E10" s="73" t="n"/>
      <c r="F10" s="74" t="n"/>
      <c r="G10" s="29">
        <f>IF(B10="SL","SL","")</f>
        <v/>
      </c>
      <c r="H10" s="75" t="n"/>
      <c r="I10" s="34">
        <f>IFERROR(IF(SUM(C10:G10)&gt;24,"إجمالي &gt; 24 ساعة.",SUM(C10:G10)), "")</f>
        <v/>
      </c>
      <c r="J10" s="77" t="n"/>
    </row>
    <row r="11" ht="30" customHeight="1" s="44">
      <c r="A11" s="61" t="n"/>
      <c r="B11" s="68" t="n"/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7" t="n"/>
    </row>
    <row r="12" ht="30" customHeight="1" s="44">
      <c r="A12" s="62" t="n"/>
      <c r="B12" s="71" t="n"/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7" t="n"/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7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7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7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7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7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7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7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7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7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7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7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7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7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7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7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7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7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7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7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7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7" t="n"/>
    </row>
    <row r="34" ht="30" customHeight="1" s="44">
      <c r="A34" s="62" t="n"/>
      <c r="B34" s="76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7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MOHAMMAD AAMIR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46069</v>
      </c>
      <c r="B7" s="68" t="inlineStr">
        <is>
          <t>P</t>
        </is>
      </c>
      <c r="C7" s="68" t="n"/>
      <c r="D7" s="68" t="n"/>
      <c r="E7" s="68" t="n"/>
      <c r="F7" s="68" t="n"/>
      <c r="G7" s="26" t="n"/>
      <c r="H7" s="69" t="n">
        <v/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46079</v>
      </c>
      <c r="B8" s="71" t="inlineStr">
        <is>
          <t>P</t>
        </is>
      </c>
      <c r="C8" s="72" t="n"/>
      <c r="D8" s="71" t="n"/>
      <c r="E8" s="73" t="n"/>
      <c r="F8" s="74" t="n"/>
      <c r="G8" s="29">
        <f>IF(B8="SL","SL","")</f>
        <v/>
      </c>
      <c r="H8" s="75" t="n">
        <v/>
      </c>
      <c r="I8" s="34">
        <f>IFERROR(IF(SUM(C8:G8)&gt;24,"إجمالي &gt; 24 ساعة.",SUM(C8:G8)), "")</f>
        <v/>
      </c>
      <c r="J8" s="70" t="n">
        <v/>
      </c>
    </row>
    <row r="9" ht="30" customHeight="1" s="44">
      <c r="A9" s="61" t="n"/>
      <c r="B9" s="68" t="n"/>
      <c r="C9" s="68" t="n"/>
      <c r="D9" s="68" t="n"/>
      <c r="E9" s="68" t="n"/>
      <c r="F9" s="68" t="n"/>
      <c r="G9" s="26">
        <f>IF(B9="SL","SL","")</f>
        <v/>
      </c>
      <c r="H9" s="69" t="n"/>
      <c r="I9" s="28">
        <f>IFERROR(IF(SUM(C9:G9)&gt;24,"إجمالي &gt; 24 ساعة.",SUM(C9:G9)), "")</f>
        <v/>
      </c>
      <c r="J9" s="77" t="n"/>
    </row>
    <row r="10" ht="30" customHeight="1" s="44">
      <c r="A10" s="62" t="n"/>
      <c r="B10" s="71" t="n"/>
      <c r="C10" s="72" t="n"/>
      <c r="D10" s="71" t="n"/>
      <c r="E10" s="73" t="n"/>
      <c r="F10" s="74" t="n"/>
      <c r="G10" s="29">
        <f>IF(B10="SL","SL","")</f>
        <v/>
      </c>
      <c r="H10" s="75" t="n"/>
      <c r="I10" s="34">
        <f>IFERROR(IF(SUM(C10:G10)&gt;24,"إجمالي &gt; 24 ساعة.",SUM(C10:G10)), "")</f>
        <v/>
      </c>
      <c r="J10" s="77" t="n"/>
    </row>
    <row r="11" ht="30" customHeight="1" s="44">
      <c r="A11" s="61" t="n"/>
      <c r="B11" s="68" t="n"/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7" t="n"/>
    </row>
    <row r="12" ht="30" customHeight="1" s="44">
      <c r="A12" s="62" t="n"/>
      <c r="B12" s="71" t="n"/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7" t="n"/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7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7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7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7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7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7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7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7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7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7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7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7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7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7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7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7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7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7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7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7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7" t="n"/>
    </row>
    <row r="34" ht="30" customHeight="1" s="44">
      <c r="A34" s="62" t="n"/>
      <c r="B34" s="76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7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BARAKAT SHAH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46069</v>
      </c>
      <c r="B7" s="68" t="inlineStr">
        <is>
          <t>P</t>
        </is>
      </c>
      <c r="C7" s="68" t="n"/>
      <c r="D7" s="68" t="n"/>
      <c r="E7" s="68" t="n"/>
      <c r="F7" s="68" t="n"/>
      <c r="G7" s="26" t="n"/>
      <c r="H7" s="69" t="n">
        <v/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46079</v>
      </c>
      <c r="B8" s="71" t="inlineStr">
        <is>
          <t>P</t>
        </is>
      </c>
      <c r="C8" s="72" t="n"/>
      <c r="D8" s="71" t="n"/>
      <c r="E8" s="73" t="n"/>
      <c r="F8" s="74" t="n"/>
      <c r="G8" s="29">
        <f>IF(B8="SL","SL","")</f>
        <v/>
      </c>
      <c r="H8" s="75" t="n">
        <v/>
      </c>
      <c r="I8" s="34">
        <f>IFERROR(IF(SUM(C8:G8)&gt;24,"إجمالي &gt; 24 ساعة.",SUM(C8:G8)), "")</f>
        <v/>
      </c>
      <c r="J8" s="70" t="n">
        <v/>
      </c>
    </row>
    <row r="9" ht="30" customHeight="1" s="44">
      <c r="A9" s="61" t="n"/>
      <c r="B9" s="68" t="n"/>
      <c r="C9" s="68" t="n"/>
      <c r="D9" s="68" t="n"/>
      <c r="E9" s="68" t="n"/>
      <c r="F9" s="68" t="n"/>
      <c r="G9" s="26">
        <f>IF(B9="SL","SL","")</f>
        <v/>
      </c>
      <c r="H9" s="69" t="n"/>
      <c r="I9" s="28">
        <f>IFERROR(IF(SUM(C9:G9)&gt;24,"إجمالي &gt; 24 ساعة.",SUM(C9:G9)), "")</f>
        <v/>
      </c>
      <c r="J9" s="77" t="n"/>
    </row>
    <row r="10" ht="30" customHeight="1" s="44">
      <c r="A10" s="62" t="n"/>
      <c r="B10" s="71" t="n"/>
      <c r="C10" s="72" t="n"/>
      <c r="D10" s="71" t="n"/>
      <c r="E10" s="73" t="n"/>
      <c r="F10" s="74" t="n"/>
      <c r="G10" s="29">
        <f>IF(B10="SL","SL","")</f>
        <v/>
      </c>
      <c r="H10" s="75" t="n"/>
      <c r="I10" s="34">
        <f>IFERROR(IF(SUM(C10:G10)&gt;24,"إجمالي &gt; 24 ساعة.",SUM(C10:G10)), "")</f>
        <v/>
      </c>
      <c r="J10" s="77" t="n"/>
    </row>
    <row r="11" ht="30" customHeight="1" s="44">
      <c r="A11" s="61" t="n"/>
      <c r="B11" s="68" t="n"/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7" t="n"/>
    </row>
    <row r="12" ht="30" customHeight="1" s="44">
      <c r="A12" s="62" t="n"/>
      <c r="B12" s="71" t="n"/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7" t="n"/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7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7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7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7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7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7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7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7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7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7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7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7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7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7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7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7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7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7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7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7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7" t="n"/>
    </row>
    <row r="34" ht="30" customHeight="1" s="44">
      <c r="A34" s="62" t="n"/>
      <c r="B34" s="76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7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IDRIS KHAN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46069</v>
      </c>
      <c r="B7" s="68" t="inlineStr">
        <is>
          <t>P</t>
        </is>
      </c>
      <c r="C7" s="68" t="n"/>
      <c r="D7" s="68" t="n"/>
      <c r="E7" s="68" t="n"/>
      <c r="F7" s="68" t="n"/>
      <c r="G7" s="26" t="n"/>
      <c r="H7" s="69" t="n">
        <v/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46079</v>
      </c>
      <c r="B8" s="71" t="inlineStr">
        <is>
          <t>P</t>
        </is>
      </c>
      <c r="C8" s="72" t="n"/>
      <c r="D8" s="71" t="n"/>
      <c r="E8" s="73" t="n"/>
      <c r="F8" s="74" t="n"/>
      <c r="G8" s="29">
        <f>IF(B8="SL","SL","")</f>
        <v/>
      </c>
      <c r="H8" s="75" t="n">
        <v/>
      </c>
      <c r="I8" s="34">
        <f>IFERROR(IF(SUM(C8:G8)&gt;24,"إجمالي &gt; 24 ساعة.",SUM(C8:G8)), "")</f>
        <v/>
      </c>
      <c r="J8" s="70" t="n">
        <v/>
      </c>
    </row>
    <row r="9" ht="30" customHeight="1" s="44">
      <c r="A9" s="61" t="n"/>
      <c r="B9" s="68" t="n"/>
      <c r="C9" s="68" t="n"/>
      <c r="D9" s="68" t="n"/>
      <c r="E9" s="68" t="n"/>
      <c r="F9" s="68" t="n"/>
      <c r="G9" s="26">
        <f>IF(B9="SL","SL","")</f>
        <v/>
      </c>
      <c r="H9" s="69" t="n"/>
      <c r="I9" s="28">
        <f>IFERROR(IF(SUM(C9:G9)&gt;24,"إجمالي &gt; 24 ساعة.",SUM(C9:G9)), "")</f>
        <v/>
      </c>
      <c r="J9" s="77" t="n"/>
    </row>
    <row r="10" ht="30" customHeight="1" s="44">
      <c r="A10" s="62" t="n"/>
      <c r="B10" s="71" t="n"/>
      <c r="C10" s="72" t="n"/>
      <c r="D10" s="71" t="n"/>
      <c r="E10" s="73" t="n"/>
      <c r="F10" s="74" t="n"/>
      <c r="G10" s="29">
        <f>IF(B10="SL","SL","")</f>
        <v/>
      </c>
      <c r="H10" s="75" t="n"/>
      <c r="I10" s="34">
        <f>IFERROR(IF(SUM(C10:G10)&gt;24,"إجمالي &gt; 24 ساعة.",SUM(C10:G10)), "")</f>
        <v/>
      </c>
      <c r="J10" s="77" t="n"/>
    </row>
    <row r="11" ht="30" customHeight="1" s="44">
      <c r="A11" s="61" t="n"/>
      <c r="B11" s="68" t="n"/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7" t="n"/>
    </row>
    <row r="12" ht="30" customHeight="1" s="44">
      <c r="A12" s="62" t="n"/>
      <c r="B12" s="71" t="n"/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7" t="n"/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7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7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7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7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7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7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7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7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7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7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7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7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7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7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7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7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7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7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7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7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7" t="n"/>
    </row>
    <row r="34" ht="30" customHeight="1" s="44">
      <c r="A34" s="62" t="n"/>
      <c r="B34" s="76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7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SARDAR HUSSAIN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46069</v>
      </c>
      <c r="B7" s="68" t="inlineStr">
        <is>
          <t>P</t>
        </is>
      </c>
      <c r="C7" s="68" t="n"/>
      <c r="D7" s="68" t="n"/>
      <c r="E7" s="68" t="n"/>
      <c r="F7" s="68" t="n"/>
      <c r="G7" s="26" t="n"/>
      <c r="H7" s="69" t="n">
        <v/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46079</v>
      </c>
      <c r="B8" s="71" t="inlineStr">
        <is>
          <t>P</t>
        </is>
      </c>
      <c r="C8" s="72" t="n"/>
      <c r="D8" s="71" t="n"/>
      <c r="E8" s="73" t="n"/>
      <c r="F8" s="74" t="n"/>
      <c r="G8" s="29">
        <f>IF(B8="SL","SL","")</f>
        <v/>
      </c>
      <c r="H8" s="75" t="n">
        <v/>
      </c>
      <c r="I8" s="34">
        <f>IFERROR(IF(SUM(C8:G8)&gt;24,"إجمالي &gt; 24 ساعة.",SUM(C8:G8)), "")</f>
        <v/>
      </c>
      <c r="J8" s="70" t="n">
        <v/>
      </c>
    </row>
    <row r="9" ht="30" customHeight="1" s="44">
      <c r="A9" s="61" t="n"/>
      <c r="B9" s="68" t="n"/>
      <c r="C9" s="68" t="n"/>
      <c r="D9" s="68" t="n"/>
      <c r="E9" s="68" t="n"/>
      <c r="F9" s="68" t="n"/>
      <c r="G9" s="26">
        <f>IF(B9="SL","SL","")</f>
        <v/>
      </c>
      <c r="H9" s="69" t="n"/>
      <c r="I9" s="28">
        <f>IFERROR(IF(SUM(C9:G9)&gt;24,"إجمالي &gt; 24 ساعة.",SUM(C9:G9)), "")</f>
        <v/>
      </c>
      <c r="J9" s="77" t="n"/>
    </row>
    <row r="10" ht="30" customHeight="1" s="44">
      <c r="A10" s="62" t="n"/>
      <c r="B10" s="71" t="n"/>
      <c r="C10" s="72" t="n"/>
      <c r="D10" s="71" t="n"/>
      <c r="E10" s="73" t="n"/>
      <c r="F10" s="74" t="n"/>
      <c r="G10" s="29">
        <f>IF(B10="SL","SL","")</f>
        <v/>
      </c>
      <c r="H10" s="75" t="n"/>
      <c r="I10" s="34">
        <f>IFERROR(IF(SUM(C10:G10)&gt;24,"إجمالي &gt; 24 ساعة.",SUM(C10:G10)), "")</f>
        <v/>
      </c>
      <c r="J10" s="77" t="n"/>
    </row>
    <row r="11" ht="30" customHeight="1" s="44">
      <c r="A11" s="61" t="n"/>
      <c r="B11" s="68" t="n"/>
      <c r="C11" s="68" t="n"/>
      <c r="D11" s="68" t="n"/>
      <c r="E11" s="68" t="n"/>
      <c r="F11" s="68" t="n"/>
      <c r="G11" s="26">
        <f>IF(B11="SL","SL","")</f>
        <v/>
      </c>
      <c r="H11" s="69" t="n"/>
      <c r="I11" s="28">
        <f>IFERROR(IF(SUM(C11:G11)&gt;24,"إجمالي &gt; 24 ساعة.",SUM(C11:G11)), "")</f>
        <v/>
      </c>
      <c r="J11" s="77" t="n"/>
    </row>
    <row r="12" ht="30" customHeight="1" s="44">
      <c r="A12" s="62" t="n"/>
      <c r="B12" s="71" t="n"/>
      <c r="C12" s="72" t="n"/>
      <c r="D12" s="71" t="n"/>
      <c r="E12" s="73" t="n"/>
      <c r="F12" s="74" t="n"/>
      <c r="G12" s="29">
        <f>IF(B12="SL","SL","")</f>
        <v/>
      </c>
      <c r="H12" s="75" t="n"/>
      <c r="I12" s="34">
        <f>IFERROR(IF(SUM(C12:G12)&gt;24,"إجمالي &gt; 24 ساعة.",SUM(C12:G12)), "")</f>
        <v/>
      </c>
      <c r="J12" s="77" t="n"/>
    </row>
    <row r="13" ht="30" customHeight="1" s="44">
      <c r="A13" s="62" t="n"/>
      <c r="B13" s="68" t="n"/>
      <c r="C13" s="68" t="n"/>
      <c r="D13" s="68" t="n"/>
      <c r="E13" s="68" t="n"/>
      <c r="F13" s="68" t="n"/>
      <c r="G13" s="26">
        <f>IF(B13="SL","SL","")</f>
        <v/>
      </c>
      <c r="H13" s="69" t="n"/>
      <c r="I13" s="28">
        <f>IFERROR(IF(SUM(C13:G13)&gt;24,"إجمالي &gt; 24 ساعة.",SUM(C13:G13)), "")</f>
        <v/>
      </c>
      <c r="J13" s="77" t="n"/>
    </row>
    <row r="14" ht="30" customHeight="1" s="44">
      <c r="A14" s="62" t="n"/>
      <c r="B14" s="71" t="n"/>
      <c r="C14" s="72" t="n"/>
      <c r="D14" s="71" t="n"/>
      <c r="E14" s="74" t="n"/>
      <c r="F14" s="74" t="n"/>
      <c r="G14" s="29">
        <f>IF(B14="SL","SL","")</f>
        <v/>
      </c>
      <c r="H14" s="75" t="n"/>
      <c r="I14" s="34">
        <f>IFERROR(IF(SUM(C14:G14)&gt;24,"إجمالي &gt; 24 ساعة.",SUM(C14:G14)), "")</f>
        <v/>
      </c>
      <c r="J14" s="77" t="n"/>
    </row>
    <row r="15" ht="30" customHeight="1" s="44">
      <c r="A15" s="61" t="n"/>
      <c r="B15" s="68" t="n"/>
      <c r="C15" s="68" t="n"/>
      <c r="D15" s="68" t="n"/>
      <c r="E15" s="68" t="n"/>
      <c r="F15" s="68" t="n"/>
      <c r="G15" s="26">
        <f>IF(B15="SL","SL","")</f>
        <v/>
      </c>
      <c r="H15" s="69" t="n"/>
      <c r="I15" s="28">
        <f>IFERROR(IF(SUM(C15:G15)&gt;24,"إجمالي &gt; 24 ساعة.",SUM(C15:G15)), "")</f>
        <v/>
      </c>
      <c r="J15" s="77" t="n"/>
    </row>
    <row r="16" ht="30" customHeight="1" s="44">
      <c r="A16" s="62" t="n"/>
      <c r="B16" s="71" t="n"/>
      <c r="C16" s="72" t="n"/>
      <c r="D16" s="71" t="n"/>
      <c r="E16" s="74" t="n"/>
      <c r="F16" s="74" t="n"/>
      <c r="G16" s="29">
        <f>IF(B16="SL","SL","")</f>
        <v/>
      </c>
      <c r="H16" s="75" t="n"/>
      <c r="I16" s="34">
        <f>IFERROR(IF(SUM(C16:G16)&gt;24,"إجمالي &gt; 24 ساعة.",SUM(C16:G16)), "")</f>
        <v/>
      </c>
      <c r="J16" s="77" t="n"/>
    </row>
    <row r="17" ht="30" customHeight="1" s="44">
      <c r="A17" s="61" t="n"/>
      <c r="B17" s="68" t="n"/>
      <c r="C17" s="68" t="n"/>
      <c r="D17" s="68" t="n"/>
      <c r="E17" s="68" t="n"/>
      <c r="F17" s="68" t="n"/>
      <c r="G17" s="26">
        <f>IF(B17="SL","SL","")</f>
        <v/>
      </c>
      <c r="H17" s="69" t="n"/>
      <c r="I17" s="28">
        <f>IFERROR(IF(SUM(C17:G17)&gt;24,"إجمالي &gt; 24 ساعة.",SUM(C17:G17)), "")</f>
        <v/>
      </c>
      <c r="J17" s="77" t="n"/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7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7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7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7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7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7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7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7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7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7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7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7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7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7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7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7" t="n"/>
    </row>
    <row r="34" ht="30" customHeight="1" s="44">
      <c r="A34" s="62" t="n"/>
      <c r="B34" s="76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7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2024-12-18T10:07:28Z</dcterms:created>
  <dcterms:modified xsi:type="dcterms:W3CDTF">2026-02-27T11:09:05Z</dcterms:modified>
  <cp:lastModifiedBy>Office</cp:lastModifiedBy>
  <cp:lastPrinted>2025-12-31T10:30:34Z</cp:lastPrinted>
</cp:coreProperties>
</file>
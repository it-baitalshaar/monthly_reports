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جمعة" sheetId="2" state="visible" r:id="rId2"/>
    <sheet name="حفيظ الله" sheetId="3" state="visible" r:id="rId3"/>
    <sheet name="شمس الرحمن" sheetId="4" state="visible" r:id="rId4"/>
    <sheet name="رحمت الله" sheetId="5" state="visible" r:id="rId5"/>
    <sheet name="نداء الله محمد ايوب خان" sheetId="6" state="visible" r:id="rId6"/>
    <sheet name="بلال خان سعيد رحمن" sheetId="7" state="visible" r:id="rId7"/>
    <sheet name="محمد شاهجان جازى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4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5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13" fillId="13" borderId="5" applyAlignment="1" applyProtection="1" pivotButton="0" quotePrefix="0" xfId="0">
      <alignment horizontal="center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Saqia 20 5hrs + Abo-Abdullah-Villa 3hrs</t>
        </is>
      </c>
      <c r="I7" s="28">
        <f>IFERROR(IF(SUM(C7:G7)&gt;24,"إجمالي &gt; 24 ساعة.",SUM(C7:G7)), "")</f>
        <v/>
      </c>
      <c r="J7" s="70" t="inlineStr">
        <is>
          <t xml:space="preserve">M.D warking </t>
        </is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 3hrs + Home`s Mr.Abdullah 5hrs</t>
        </is>
      </c>
      <c r="I8" s="34">
        <f>IFERROR(IF(SUM(C8:G8)&gt;24,"إجمالي &gt; 24 ساعة.",SUM(C8:G8)), "")</f>
        <v/>
      </c>
      <c r="J8" s="70" t="inlineStr">
        <is>
          <t xml:space="preserve">Man doot work AC working </t>
        </is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Shahama complex 3hrs + Farm 826 5hrs</t>
        </is>
      </c>
      <c r="I9" s="28">
        <f>IFERROR(IF(SUM(C9:G9)&gt;24,"إجمالي &gt; 24 ساعة.",SUM(C9:G9)), "")</f>
        <v/>
      </c>
      <c r="J9" s="70" t="inlineStr">
        <is>
          <t xml:space="preserve">flat 5 Ac working farm villa work </t>
        </is>
      </c>
    </row>
    <row r="10" ht="32" customHeight="1" s="44">
      <c r="A10" s="62" t="n">
        <v>46116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 4hrs + Abo-Abdullah-Villa 4hrs</t>
        </is>
      </c>
      <c r="I10" s="34">
        <f>IFERROR(IF(SUM(C10:G10)&gt;24,"إجمالي &gt; 24 ساعة.",SUM(C10:G10)), "")</f>
        <v/>
      </c>
      <c r="J10" s="70" t="inlineStr">
        <is>
          <t>water Tank work Musafa AC circuit repairing</t>
        </is>
      </c>
    </row>
    <row r="11" ht="32" customHeight="1" s="44">
      <c r="A11" s="61" t="n">
        <v>46117</v>
      </c>
      <c r="B11" s="76" t="inlineStr">
        <is>
          <t>W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Home`s Mr.Abdullah</t>
        </is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 4hrs + Al Shahama complex 4hrs</t>
        </is>
      </c>
      <c r="I12" s="34">
        <f>IFERROR(IF(SUM(C12:G12)&gt;24,"إجمالي &gt; 24 ساعة.",SUM(C12:G12)), "")</f>
        <v/>
      </c>
      <c r="J12" s="70" t="inlineStr">
        <is>
          <t xml:space="preserve">AC work yellow villa 128water pump </t>
        </is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Karama Complex 6hrs + Home`s Mr.Abdullah 2hrs</t>
        </is>
      </c>
      <c r="I13" s="28">
        <f>IFERROR(IF(SUM(C13:G13)&gt;24,"إجمالي &gt; 24 ساعة.",SUM(C13:G13)), "")</f>
        <v/>
      </c>
      <c r="J13" s="70" t="inlineStr">
        <is>
          <t xml:space="preserve">AC circuit fitting </t>
        </is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Adil Villa</t>
        </is>
      </c>
      <c r="I14" s="34">
        <f>IFERROR(IF(SUM(C14:G14)&gt;24,"إجمالي &gt; 24 ساعة.",SUM(C14:G14)), "")</f>
        <v/>
      </c>
      <c r="J14" s="70" t="inlineStr">
        <is>
          <t>water leakage capacitor Bank  villa 43 AC WORK work</t>
        </is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Karama Complex 5hrs + Home`s Mr.Abdullah 3hrs</t>
        </is>
      </c>
      <c r="I15" s="28">
        <f>IFERROR(IF(SUM(C15:G15)&gt;24,"إجمالي &gt; 24 ساعة.",SUM(C15:G15)), "")</f>
        <v/>
      </c>
      <c r="J15" s="70" t="inlineStr">
        <is>
          <t>AC outdoor work Villa 2 water leakage p.p.r pive</t>
        </is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Salam Complex 4hrs + Al Karama Complex 2hrs + Al Saada Complex 2hrs</t>
        </is>
      </c>
      <c r="I16" s="34">
        <f>IFERROR(IF(SUM(C16:G16)&gt;24,"إجمالي &gt; 24 ساعة.",SUM(C16:G16)), "")</f>
        <v/>
      </c>
      <c r="J16" s="70" t="inlineStr">
        <is>
          <t xml:space="preserve">Villa 2 water leakage cheak villa 43 AC work </t>
        </is>
      </c>
    </row>
    <row r="17" ht="32" customHeight="1" s="44">
      <c r="A17" s="61" t="n">
        <v>46123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Karama Complex 3hrs + Al Saada Complex 5hrs</t>
        </is>
      </c>
      <c r="I17" s="28">
        <f>IFERROR(IF(SUM(C17:G17)&gt;24,"إجمالي &gt; 24 ساعة.",SUM(C17:G17)), "")</f>
        <v/>
      </c>
      <c r="J17" s="70" t="inlineStr">
        <is>
          <t xml:space="preserve">A2 E1 C3. AC work </t>
        </is>
      </c>
    </row>
    <row r="18" ht="32" customHeight="1" s="44">
      <c r="A18" s="62" t="n">
        <v>46124</v>
      </c>
      <c r="B18" s="76" t="inlineStr">
        <is>
          <t>W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Home`s Mr.Abdullah</t>
        </is>
      </c>
      <c r="I18" s="34">
        <f>IFERROR(IF(SUM(C18:G18)&gt;24,"إجمالي &gt; 24 ساعة.",SUM(C18:G18)), "")</f>
        <v/>
      </c>
      <c r="J18" s="70" t="inlineStr">
        <is>
          <t>Weekend</t>
        </is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Masjid Alkhalil 3hrs + Saqia 72 2hrs + Al Saada Complex 1hrs + Saqia 20 2hrs</t>
        </is>
      </c>
      <c r="I19" s="28">
        <f>IFERROR(IF(SUM(C19:G19)&gt;24,"إجمالي &gt; 24 ساعة.",SUM(C19:G19)), "")</f>
        <v/>
      </c>
      <c r="J19" s="70" t="inlineStr">
        <is>
          <t xml:space="preserve">2 door work camera work water pump work Flat B4 AC work </t>
        </is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Home`s Mr.Abdullah 3hrs + Al Saada Complex 5hrs</t>
        </is>
      </c>
      <c r="I20" s="34">
        <f>IFERROR(IF(SUM(C20:G20)&gt;24,"إجمالي &gt; 24 ساعة.",SUM(C20:G20)), "")</f>
        <v/>
      </c>
      <c r="J20" s="70" t="inlineStr">
        <is>
          <t xml:space="preserve">Flat B6 water  leakage work AC work </t>
        </is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Shahama complex 3hrs + Al Saada Complex 2hrs + Farm 826 3hrs</t>
        </is>
      </c>
      <c r="I21" s="28">
        <f>IFERROR(IF(SUM(C21:G21)&gt;24,"إجمالي &gt; 24 ساعة.",SUM(C21:G21)), "")</f>
        <v/>
      </c>
      <c r="J21" s="70" t="inlineStr">
        <is>
          <t xml:space="preserve">Water pump work c.c camera work </t>
        </is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Home`s Mr.Abdullah 3hrs + Masjid Alkhalil 4hrs + Masjid Al Karama 1hrs</t>
        </is>
      </c>
      <c r="I22" s="34">
        <f>IFERROR(IF(SUM(C21:G21)&gt;24,"إجمالي &gt; 24 ساعة.",SUM(C21:G21)), "")</f>
        <v/>
      </c>
      <c r="J22" s="70" t="inlineStr">
        <is>
          <t xml:space="preserve">store broken  water pump fixing </t>
        </is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Abo-Abdullah-Villa 2hrs + Home`s Mr.Abdullah 1hrs + Al Saada Complex 5hrs</t>
        </is>
      </c>
      <c r="I23" s="28">
        <f>IFERROR(IF(SUM(C23:G23)&gt;24,"إجمالي &gt; 24 ساعة.",SUM(C23:G23)), "")</f>
        <v/>
      </c>
      <c r="J23" s="70" t="inlineStr">
        <is>
          <t xml:space="preserve">Mangate work B7 water leakage work </t>
        </is>
      </c>
    </row>
    <row r="24" ht="32" customHeight="1" s="44">
      <c r="A24" s="62" t="n">
        <v>46130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Home`s Mr.Abdullah 2hrs + Abo-Abdullah-Villa 3hrs + Al Saada Complex 3hrs</t>
        </is>
      </c>
      <c r="I24" s="34">
        <f>IFERROR(IF(SUM(C24:G24)&gt;24,"إجمالي &gt; 24 ساعة.",SUM(C24:G24)), "")</f>
        <v/>
      </c>
      <c r="J24" s="70" t="inlineStr">
        <is>
          <t xml:space="preserve">Villa 243 AC work Flat E3 water pipe work </t>
        </is>
      </c>
    </row>
    <row r="25" ht="32" customHeight="1" s="44">
      <c r="A25" s="61" t="n">
        <v>46131</v>
      </c>
      <c r="B25" s="76" t="inlineStr">
        <is>
          <t>W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Home`s Mr.Abdullah</t>
        </is>
      </c>
      <c r="I25" s="28">
        <f>IFERROR(IF(SUM(C25:G25)&gt;24,"إجمالي &gt; 24 ساعة.",SUM(C25:G25)), "")</f>
        <v/>
      </c>
      <c r="J25" s="70" t="inlineStr">
        <is>
          <t>Weekend</t>
        </is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20 3hrs + Adil Villa 2hrs + Al Shahama complex 3hrs</t>
        </is>
      </c>
      <c r="I26" s="34">
        <f>IFERROR(IF(SUM(C26:G26)&gt;24,"إجمالي &gt; 24 ساعة.",SUM(C26:G26)), "")</f>
        <v/>
      </c>
      <c r="J26" s="70" t="inlineStr">
        <is>
          <t xml:space="preserve">New water heater fixing AC work cleaning work </t>
        </is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 2hrs + Abo-Abdullah-Villa 6hrs</t>
        </is>
      </c>
      <c r="I27" s="28">
        <f>IFERROR(IF(SUM(C27:G27)&gt;24,"إجمالي &gt; 24 ساعة.",SUM(C27:G27)), "")</f>
        <v/>
      </c>
      <c r="J27" s="70" t="inlineStr">
        <is>
          <t xml:space="preserve">shailaja compresser fixing </t>
        </is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Salam Complex 3hrs + Saqia 20 5hrs</t>
        </is>
      </c>
      <c r="I28" s="34">
        <f>IFERROR(IF(SUM(C28:G28)&gt;24,"إجمالي &gt; 24 ساعة.",SUM(C28:G28)), "")</f>
        <v/>
      </c>
      <c r="J28" s="70" t="inlineStr">
        <is>
          <t xml:space="preserve">office 4  tal fixing flat 3 AC work </t>
        </is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Saqia 20 2hrs + Saqia 72 3hrs + Al Saada Complex 3hrs</t>
        </is>
      </c>
      <c r="I29" s="28">
        <f>IFERROR(IF(SUM(C29:G29)&gt;24,"إجمالي &gt; 24 ساعة.",SUM(C29:G29)), "")</f>
        <v/>
      </c>
      <c r="J29" s="70" t="inlineStr">
        <is>
          <t xml:space="preserve">flat E3 AC work door lock fixing water cooler work </t>
        </is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 3hrs + Al Shahama complex 3hrs + Farm 826 2hrs</t>
        </is>
      </c>
      <c r="I30" s="34">
        <f>IFERROR(IF(SUM(C30:G30)&gt;24,"إجمالي &gt; 24 ساعة.",SUM(C30:G30)), "")</f>
        <v/>
      </c>
      <c r="J30" s="70" t="inlineStr">
        <is>
          <t xml:space="preserve">Lift work AC work Flat B6 AC work </t>
        </is>
      </c>
    </row>
    <row r="31" ht="32" customHeight="1" s="44">
      <c r="A31" s="61" t="n">
        <v>46137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</t>
        </is>
      </c>
      <c r="I31" s="28">
        <f>IFERROR(IF(SUM(C31:G31)&gt;24,"إجمالي &gt; 24 ساعة.",SUM(C31:G31)), "")</f>
        <v/>
      </c>
      <c r="J31" s="70" t="inlineStr">
        <is>
          <t xml:space="preserve">Abu Dhabi villa 48 electric work Villa 132 AC work C.C camera work </t>
        </is>
      </c>
    </row>
    <row r="32" ht="32" customHeight="1" s="44">
      <c r="A32" s="62" t="n">
        <v>46138</v>
      </c>
      <c r="B32" s="76" t="inlineStr">
        <is>
          <t>W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Home`s Mr.Abdullah</t>
        </is>
      </c>
      <c r="I32" s="34">
        <f>IFERROR(IF(SUM(C32:G32)&gt;24,"إجمالي &gt; 24 ساعة.",SUM(C32:G32)), "")</f>
        <v/>
      </c>
      <c r="J32" s="70" t="inlineStr">
        <is>
          <t>Weekend</t>
        </is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20 5hrs + Abo-Abdullah-Villa 1hrs + Al Saada Complex 2hrs</t>
        </is>
      </c>
      <c r="I33" s="28">
        <f>IFERROR(IF(SUM(C33:G33)&gt;24,"إجمالي &gt; 24 ساعة.",SUM(C33:G33)), "")</f>
        <v/>
      </c>
      <c r="J33" s="70" t="inlineStr">
        <is>
          <t xml:space="preserve">men aluminium door working insert killer fixing </t>
        </is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Saqia 20 4hrs + Al Saada Complex 4hrs</t>
        </is>
      </c>
      <c r="I34" s="34">
        <f>IFERROR(IF(SUM(C34:G34)&gt;24,"إجمالي &gt; 24 ساعة.",SUM(C34:G34)), "")</f>
        <v/>
      </c>
      <c r="J34" s="70" t="inlineStr">
        <is>
          <t xml:space="preserve">villa 43 New AC  Fixing  ster cash  door work </t>
        </is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Saqia 20</t>
        </is>
      </c>
      <c r="I35" s="28">
        <f>IFERROR(IF(SUM(C35:G35)&gt;24,"إجمالي &gt; 24 ساعة.",SUM(C35:G35)), "")</f>
        <v/>
      </c>
      <c r="J35" s="70" t="inlineStr">
        <is>
          <t xml:space="preserve">AC work </t>
        </is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Saada Complex 5hrs + Farm 826 3hrs</t>
        </is>
      </c>
      <c r="I36" s="34">
        <f>IFERROR(IF(SUM(C36:G36)&gt;24,"إجمالي &gt; 24 ساعة.",SUM(C36:G36)), "")</f>
        <v/>
      </c>
      <c r="J36" s="70" t="inlineStr">
        <is>
          <t>villa 43 New AC install</t>
        </is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>Cleaning work A1 pump.C1 AC work E1 AC work</t>
        </is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Home`s Mr.Abdullah 5hrs + Al Saada Complex 3hrs</t>
        </is>
      </c>
      <c r="I8" s="34">
        <f>IFERROR(IF(SUM(C8:G8)&gt;24,"إجمالي &gt; 24 ساعة.",SUM(C8:G8)), "")</f>
        <v/>
      </c>
      <c r="J8" s="70" t="inlineStr">
        <is>
          <t xml:space="preserve">water Tank work AC work </t>
        </is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 5hrs + Al Shahama complex 3hrs</t>
        </is>
      </c>
      <c r="I9" s="28">
        <f>IFERROR(IF(SUM(C9:G9)&gt;24,"إجمالي &gt; 24 ساعة.",SUM(C9:G9)), "")</f>
        <v/>
      </c>
      <c r="J9" s="70" t="inlineStr">
        <is>
          <t xml:space="preserve">flat 5 Ac work farm villa work </t>
        </is>
      </c>
    </row>
    <row r="10" ht="32" customHeight="1" s="44">
      <c r="A10" s="62" t="n">
        <v>46116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Home`s Mr.Abdullah 4hrs + Al Saada Complex 4hrs</t>
        </is>
      </c>
      <c r="I10" s="34">
        <f>IFERROR(IF(SUM(C10:G10)&gt;24,"إجمالي &gt; 24 ساعة.",SUM(C10:G10)), "")</f>
        <v/>
      </c>
      <c r="J10" s="70" t="inlineStr">
        <is>
          <t xml:space="preserve">B5 AC work Mr Abdullah villa work </t>
        </is>
      </c>
    </row>
    <row r="11" ht="32" customHeight="1" s="44">
      <c r="A11" s="61" t="n">
        <v>46117</v>
      </c>
      <c r="B11" s="76" t="inlineStr">
        <is>
          <t>W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2" customHeight="1" s="44">
      <c r="A12" s="62" t="n">
        <v>46118</v>
      </c>
      <c r="B12" s="71" t="inlineStr">
        <is>
          <t>A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inlineStr">
        <is>
          <t>no in</t>
        </is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 2hrs + Al Karama Complex 6hrs</t>
        </is>
      </c>
      <c r="I13" s="28">
        <f>IFERROR(IF(SUM(C13:G13)&gt;24,"إجمالي &gt; 24 ساعة.",SUM(C13:G13)), "")</f>
        <v/>
      </c>
      <c r="J13" s="70" t="inlineStr">
        <is>
          <t xml:space="preserve">AC WORK YELLOW VILLA 130 AC WORK </t>
        </is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 3hrs + Al Salam Complex 2hrs + Adil Villa 3hrs</t>
        </is>
      </c>
      <c r="I14" s="34">
        <f>IFERROR(IF(SUM(C14:G14)&gt;24,"إجمالي &gt; 24 ساعة.",SUM(C14:G14)), "")</f>
        <v/>
      </c>
      <c r="J14" s="70" t="inlineStr">
        <is>
          <t xml:space="preserve">AC Service and Saper AC circuit Work </t>
        </is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Karama Complex 5hrs + Home`s Mr.Abdullah 3hrs</t>
        </is>
      </c>
      <c r="I15" s="28">
        <f>IFERROR(IF(SUM(C15:G15)&gt;24,"إجمالي &gt; 24 ساعة.",SUM(C15:G15)), "")</f>
        <v/>
      </c>
      <c r="J15" s="70" t="inlineStr">
        <is>
          <t xml:space="preserve">AC outdoor units work </t>
        </is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villa 15 AC work Villa B mazari pive work </t>
        </is>
      </c>
    </row>
    <row r="17" ht="32" customHeight="1" s="44">
      <c r="A17" s="61" t="n">
        <v>46123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Flat A2&amp;C3 &amp; E1 AC work </t>
        </is>
      </c>
    </row>
    <row r="18" ht="32" customHeight="1" s="44">
      <c r="A18" s="62" t="n">
        <v>46124</v>
      </c>
      <c r="B18" s="76" t="inlineStr">
        <is>
          <t>W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>Weekend</t>
        </is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Al Saada Complex 1hrs + Saqia 72 2hrs + Masjid Alkhalil 2hrs + Saqia 20 3hrs</t>
        </is>
      </c>
      <c r="I19" s="28">
        <f>IFERROR(IF(SUM(C19:G19)&gt;24,"إجمالي &gt; 24 ساعة.",SUM(C19:G19)), "")</f>
        <v/>
      </c>
      <c r="J19" s="70" t="inlineStr">
        <is>
          <t xml:space="preserve">2 doorw.work camera work water pump work Flat B4 AC work </t>
        </is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Home`s Mr.Abdullah 3hrs + Al Saada Complex 5hrs</t>
        </is>
      </c>
      <c r="I20" s="34">
        <f>IFERROR(IF(SUM(C20:G20)&gt;24,"إجمالي &gt; 24 ساعة.",SUM(C20:G20)), "")</f>
        <v/>
      </c>
      <c r="J20" s="70" t="inlineStr">
        <is>
          <t xml:space="preserve">Flat B6 water leakage work Flat A1 AC work Villa 126 AC work </t>
        </is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 xml:space="preserve">water pump work </t>
        </is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 1hrs + Home`s Mr.Abdullah 3hrs + Masjid Alkhalil 4hrs</t>
        </is>
      </c>
      <c r="I22" s="34">
        <f>IFERROR(IF(SUM(C21:G21)&gt;24,"إجمالي &gt; 24 ساعة.",SUM(C21:G21)), "")</f>
        <v/>
      </c>
      <c r="J22" s="70" t="inlineStr">
        <is>
          <t xml:space="preserve">Flat A1 AC service water pump fixing </t>
        </is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Abo-Abdullah-Villa 2hrs + Al Saada Complex 6hrs</t>
        </is>
      </c>
      <c r="I23" s="28">
        <f>IFERROR(IF(SUM(C23:G23)&gt;24,"إجمالي &gt; 24 ساعة.",SUM(C23:G23)), "")</f>
        <v/>
      </c>
      <c r="J23" s="70" t="inlineStr">
        <is>
          <t xml:space="preserve">mangate work Flat B7 water Leakage work </t>
        </is>
      </c>
    </row>
    <row r="24" ht="32" customHeight="1" s="44">
      <c r="A24" s="62" t="n">
        <v>46130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Flat E3 Flat C2 AC work </t>
        </is>
      </c>
    </row>
    <row r="25" ht="32" customHeight="1" s="44">
      <c r="A25" s="61" t="n">
        <v>46131</v>
      </c>
      <c r="B25" s="76" t="inlineStr">
        <is>
          <t>W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>Weekend</t>
        </is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Shahama complex 3hrs + Adil Villa 2hrs + Saqia 20 3hrs</t>
        </is>
      </c>
      <c r="I26" s="34">
        <f>IFERROR(IF(SUM(C26:G26)&gt;24,"إجمالي &gt; 24 ساعة.",SUM(C26:G26)), "")</f>
        <v/>
      </c>
      <c r="J26" s="70" t="inlineStr">
        <is>
          <t xml:space="preserve">Flat 0+ . 4. water heater change AC work claen work </t>
        </is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 4hrs + Abo-Abdullah-Villa 4hrs</t>
        </is>
      </c>
      <c r="I27" s="28">
        <f>IFERROR(IF(SUM(C27:G27)&gt;24,"إجمالي &gt; 24 ساعة.",SUM(C27:G27)), "")</f>
        <v/>
      </c>
      <c r="J27" s="70" t="inlineStr">
        <is>
          <t xml:space="preserve">Shailaja compresser fixing Flat E1 AC work </t>
        </is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Saqia 20 6hrs + Al Saada Complex 2hrs</t>
        </is>
      </c>
      <c r="I28" s="34">
        <f>IFERROR(IF(SUM(C28:G28)&gt;24,"إجمالي &gt; 24 ساعة.",SUM(C28:G28)), "")</f>
        <v/>
      </c>
      <c r="J28" s="70" t="inlineStr">
        <is>
          <t xml:space="preserve">office 4 Tal work A1 AC service </t>
        </is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 3hrs + Saqia 20 2hrs + Saqia 72 3hrs</t>
        </is>
      </c>
      <c r="I29" s="28">
        <f>IFERROR(IF(SUM(C29:G29)&gt;24,"إجمالي &gt; 24 ساعة.",SUM(C29:G29)), "")</f>
        <v/>
      </c>
      <c r="J29" s="70" t="inlineStr">
        <is>
          <t>Flat E3 AC service door lock fixing water cooler work</t>
        </is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 2hrs + Al Saada Complex 3hrs + Al Shahama complex 3hrs</t>
        </is>
      </c>
      <c r="I30" s="34">
        <f>IFERROR(IF(SUM(C30:G30)&gt;24,"إجمالي &gt; 24 ساعة.",SUM(C30:G30)), "")</f>
        <v/>
      </c>
      <c r="J30" s="70" t="inlineStr">
        <is>
          <t xml:space="preserve">Lift work AC work flat B6 AC service </t>
        </is>
      </c>
    </row>
    <row r="31" ht="32" customHeight="1" s="44">
      <c r="A31" s="61" t="n">
        <v>46137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 3hrs + Farm 826 2hrs + Al Karama Complex 3hrs</t>
        </is>
      </c>
      <c r="I31" s="28">
        <f>IFERROR(IF(SUM(C31:G31)&gt;24,"إجمالي &gt; 24 ساعة.",SUM(C31:G31)), "")</f>
        <v/>
      </c>
      <c r="J31" s="70" t="inlineStr">
        <is>
          <t xml:space="preserve">Flat A3 AC work C.C camera work Villa 132 AC work </t>
        </is>
      </c>
    </row>
    <row r="32" ht="32" customHeight="1" s="44">
      <c r="A32" s="62" t="n">
        <v>46138</v>
      </c>
      <c r="B32" s="76" t="inlineStr">
        <is>
          <t>W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Saada Complex</t>
        </is>
      </c>
      <c r="I32" s="34">
        <f>IFERROR(IF(SUM(C32:G32)&gt;24,"إجمالي &gt; 24 ساعة.",SUM(C32:G32)), "")</f>
        <v/>
      </c>
      <c r="J32" s="70" t="inlineStr">
        <is>
          <t>Weekend</t>
        </is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20 5hrs + Al Saada Complex 3hrs</t>
        </is>
      </c>
      <c r="I33" s="28">
        <f>IFERROR(IF(SUM(C33:G33)&gt;24,"إجمالي &gt; 24 ساعة.",SUM(C33:G33)), "")</f>
        <v/>
      </c>
      <c r="J33" s="70" t="inlineStr">
        <is>
          <t xml:space="preserve">men aluminium door working Flat B4 AC service </t>
        </is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Al Saada Complex 4hrs + Saqia 20 4hrs</t>
        </is>
      </c>
      <c r="I34" s="34">
        <f>IFERROR(IF(SUM(C34:G34)&gt;24,"إجمالي &gt; 24 ساعة.",SUM(C34:G34)), "")</f>
        <v/>
      </c>
      <c r="J34" s="70" t="inlineStr">
        <is>
          <t xml:space="preserve">villa 43 New AC Fixing cleaning work Flat </t>
        </is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Saada Complex 2hrs + Saqia 20 6hrs</t>
        </is>
      </c>
      <c r="I35" s="28">
        <f>IFERROR(IF(SUM(C35:G35)&gt;24,"إجمالي &gt; 24 ساعة.",SUM(C35:G35)), "")</f>
        <v/>
      </c>
      <c r="J35" s="70" t="inlineStr">
        <is>
          <t xml:space="preserve">AC work </t>
        </is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Al Saada Complex</t>
        </is>
      </c>
      <c r="I36" s="34">
        <f>IFERROR(IF(SUM(C36:G36)&gt;24,"إجمالي &gt; 24 ساعة.",SUM(C36:G36)), "")</f>
        <v/>
      </c>
      <c r="J36" s="70" t="inlineStr">
        <is>
          <t xml:space="preserve">Date 29- 4- 2026.. 2 hours overtime Flat A3 Villa 43 New AC install </t>
        </is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شمس الرحمن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V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V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V</t>
        </is>
      </c>
      <c r="C9" s="68" t="n"/>
      <c r="D9" s="68" t="n"/>
      <c r="E9" s="68" t="n"/>
      <c r="F9" s="68" t="n"/>
      <c r="G9" s="26">
        <f>IF(B9="SL","SL","")</f>
        <v/>
      </c>
      <c r="H9" s="69" t="n">
        <v/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1" t="inlineStr">
        <is>
          <t>P</t>
        </is>
      </c>
      <c r="C10" s="72" t="n"/>
      <c r="D10" s="71" t="n"/>
      <c r="E10" s="73" t="n"/>
      <c r="F10" s="74" t="n"/>
      <c r="G10" s="29">
        <f>IF(B10="SL","SL","")</f>
        <v/>
      </c>
      <c r="H10" s="75" t="n">
        <v/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46117</v>
      </c>
      <c r="B11" s="76" t="inlineStr">
        <is>
          <t>W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n">
        <v/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2" customHeight="1" s="44">
      <c r="A12" s="62" t="n">
        <v>46118</v>
      </c>
      <c r="B12" s="71" t="inlineStr">
        <is>
          <t>V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n">
        <v/>
      </c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8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8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8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8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8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8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8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8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8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8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8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8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8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8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8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8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8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8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8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8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8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8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8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8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Salam Complex</t>
        </is>
      </c>
      <c r="I7" s="28">
        <f>IFERROR(IF(SUM(C7:G7)&gt;24,"إجمالي &gt; 24 ساعة.",SUM(C7:G7)), "")</f>
        <v/>
      </c>
      <c r="J7" s="70" t="inlineStr">
        <is>
          <t xml:space="preserve">Cleaning work </t>
        </is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Salam Complex</t>
        </is>
      </c>
      <c r="I8" s="34">
        <f>IFERROR(IF(SUM(C8:G8)&gt;24,"إجمالي &gt; 24 ساعة.",SUM(C8:G8)), "")</f>
        <v/>
      </c>
      <c r="J8" s="70" t="inlineStr">
        <is>
          <t xml:space="preserve">Flat 5 light work </t>
        </is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Salam Complex 1hrs + Al Saada Complex 7hrs</t>
        </is>
      </c>
      <c r="I9" s="28">
        <f>IFERROR(IF(SUM(C9:G9)&gt;24,"إجمالي &gt; 24 ساعة.",SUM(C9:G9)), "")</f>
        <v/>
      </c>
      <c r="J9" s="70" t="inlineStr">
        <is>
          <t xml:space="preserve">Cleaning work B6 colour paint D2 colour paint work </t>
        </is>
      </c>
    </row>
    <row r="10" ht="32" customHeight="1" s="44">
      <c r="A10" s="62" t="n">
        <v>46116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Salam Complex</t>
        </is>
      </c>
      <c r="I10" s="34">
        <f>IFERROR(IF(SUM(C10:G10)&gt;24,"إجمالي &gt; 24 ساعة.",SUM(C10:G10)), "")</f>
        <v/>
      </c>
      <c r="J10" s="70" t="inlineStr">
        <is>
          <t xml:space="preserve">Flat 5 light work </t>
        </is>
      </c>
    </row>
    <row r="11" ht="32" customHeight="1" s="44">
      <c r="A11" s="61" t="n">
        <v>46117</v>
      </c>
      <c r="B11" s="76" t="inlineStr">
        <is>
          <t>W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Salam Complex</t>
        </is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Salam Complex 4hrs + Al Shahama complex 4hrs</t>
        </is>
      </c>
      <c r="I12" s="34">
        <f>IFERROR(IF(SUM(C12:G12)&gt;24,"إجمالي &gt; 24 ساعة.",SUM(C12:G12)), "")</f>
        <v/>
      </c>
      <c r="J12" s="70" t="inlineStr">
        <is>
          <t xml:space="preserve">Cleaning work AC work </t>
        </is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Salam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Flat 0 AC service </t>
        </is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Salam Complex 1hrs + Home`s Mr.Abdullah 4hrs + Adil Villa 3hrs</t>
        </is>
      </c>
      <c r="I14" s="34">
        <f>IFERROR(IF(SUM(C14:G14)&gt;24,"إجمالي &gt; 24 ساعة.",SUM(C14:G14)), "")</f>
        <v/>
      </c>
      <c r="J14" s="70" t="inlineStr">
        <is>
          <t xml:space="preserve">Cleaning work Villa 43 AC work </t>
        </is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Salam Complex 2hrs + Al Karama Complex 6hrs</t>
        </is>
      </c>
      <c r="I15" s="28">
        <f>IFERROR(IF(SUM(C15:G15)&gt;24,"إجمالي &gt; 24 ساعة.",SUM(C15:G15)), "")</f>
        <v/>
      </c>
      <c r="J15" s="70" t="inlineStr">
        <is>
          <t xml:space="preserve">Cleaning work villa 2 water leakage </t>
        </is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Salam Complex 4hrs + Al Karama Complex 4hrs</t>
        </is>
      </c>
      <c r="I16" s="34">
        <f>IFERROR(IF(SUM(C16:G16)&gt;24,"إجمالي &gt; 24 ساعة.",SUM(C16:G16)), "")</f>
        <v/>
      </c>
      <c r="J16" s="70" t="inlineStr">
        <is>
          <t xml:space="preserve">Villa 2 work flat 0 AC service </t>
        </is>
      </c>
    </row>
    <row r="17" ht="32" customHeight="1" s="44">
      <c r="A17" s="61" t="n">
        <v>46123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Salam Complex</t>
        </is>
      </c>
      <c r="I17" s="28">
        <f>IFERROR(IF(SUM(C17:G17)&gt;24,"إجمالي &gt; 24 ساعة.",SUM(C17:G17)), "")</f>
        <v/>
      </c>
      <c r="J17" s="70" t="inlineStr">
        <is>
          <t xml:space="preserve">Cleaning work flat 3 AC WORK </t>
        </is>
      </c>
    </row>
    <row r="18" ht="32" customHeight="1" s="44">
      <c r="A18" s="62" t="n">
        <v>46124</v>
      </c>
      <c r="B18" s="76" t="inlineStr">
        <is>
          <t>W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Salam Complex</t>
        </is>
      </c>
      <c r="I18" s="34">
        <f>IFERROR(IF(SUM(C18:G18)&gt;24,"إجمالي &gt; 24 ساعة.",SUM(C18:G18)), "")</f>
        <v/>
      </c>
      <c r="J18" s="70" t="inlineStr">
        <is>
          <t>Weekend</t>
        </is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Salam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</t>
        </is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Salam Complex 2hrs + Al Saada Complex 6hrs</t>
        </is>
      </c>
      <c r="I20" s="34">
        <f>IFERROR(IF(SUM(C20:G20)&gt;24,"إجمالي &gt; 24 ساعة.",SUM(C20:G20)), "")</f>
        <v/>
      </c>
      <c r="J20" s="70" t="inlineStr">
        <is>
          <t xml:space="preserve">Cleaning work   Flat A1 AC work </t>
        </is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Salam Complex</t>
        </is>
      </c>
      <c r="I21" s="28">
        <f>IFERROR(IF(SUM(C21:G21)&gt;24,"إجمالي &gt; 24 ساعة.",SUM(C21:G21)), "")</f>
        <v/>
      </c>
      <c r="J21" s="70" t="inlineStr">
        <is>
          <t xml:space="preserve">Cleaning work in villa </t>
        </is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Home`s Mr.Abdullah 3hrs + Masjid Al Karama 3hrs + Abo-Abdullah-Villa 2hrs</t>
        </is>
      </c>
      <c r="I22" s="34">
        <f>IFERROR(IF(SUM(C21:G21)&gt;24,"إجمالي &gt; 24 ساعة.",SUM(C21:G21)), "")</f>
        <v/>
      </c>
      <c r="J22" s="70" t="inlineStr">
        <is>
          <t xml:space="preserve">Store broken window spray from work </t>
        </is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Salam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46130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Home`s Mr.Abdullah 6hrs + Al Saada Complex 2hrs</t>
        </is>
      </c>
      <c r="I24" s="34">
        <f>IFERROR(IF(SUM(C24:G24)&gt;24,"إجمالي &gt; 24 ساعة.",SUM(C24:G24)), "")</f>
        <v/>
      </c>
      <c r="J24" s="70" t="inlineStr">
        <is>
          <t xml:space="preserve">Cleaning work </t>
        </is>
      </c>
    </row>
    <row r="25" ht="32" customHeight="1" s="44">
      <c r="A25" s="61" t="n">
        <v>46131</v>
      </c>
      <c r="B25" s="76" t="inlineStr">
        <is>
          <t>W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Salam Complex</t>
        </is>
      </c>
      <c r="I25" s="28">
        <f>IFERROR(IF(SUM(C25:G25)&gt;24,"إجمالي &gt; 24 ساعة.",SUM(C25:G25)), "")</f>
        <v/>
      </c>
      <c r="J25" s="70" t="inlineStr">
        <is>
          <t>Weekend</t>
        </is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Salam Complex</t>
        </is>
      </c>
      <c r="I26" s="34">
        <f>IFERROR(IF(SUM(C26:G26)&gt;24,"إجمالي &gt; 24 ساعة.",SUM(C26:G26)), "")</f>
        <v/>
      </c>
      <c r="J26" s="70" t="inlineStr">
        <is>
          <t xml:space="preserve">Cleaning work in villa  menhol cover fixing </t>
        </is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Salam Complex</t>
        </is>
      </c>
      <c r="I27" s="28">
        <f>IFERROR(IF(SUM(C27:G27)&gt;24,"إجمالي &gt; 24 ساعة.",SUM(C27:G27)), "")</f>
        <v/>
      </c>
      <c r="J27" s="70" t="inlineStr">
        <is>
          <t xml:space="preserve">Cleaning work in villa Flat 5 Ac work </t>
        </is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Saqia 20 6hrs + Al Salam Complex 2hrs</t>
        </is>
      </c>
      <c r="I28" s="34">
        <f>IFERROR(IF(SUM(C28:G28)&gt;24,"إجمالي &gt; 24 ساعة.",SUM(C28:G28)), "")</f>
        <v/>
      </c>
      <c r="J28" s="70" t="inlineStr">
        <is>
          <t xml:space="preserve">corridor light fitting  Flat 3 AC service </t>
        </is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Salam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Salam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46137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Salam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46138</v>
      </c>
      <c r="B32" s="76" t="inlineStr">
        <is>
          <t>W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Salam Complex</t>
        </is>
      </c>
      <c r="I32" s="34">
        <f>IFERROR(IF(SUM(C32:G32)&gt;24,"إجمالي &gt; 24 ساعة.",SUM(C32:G32)), "")</f>
        <v/>
      </c>
      <c r="J32" s="70" t="inlineStr">
        <is>
          <t>Weekend</t>
        </is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 7hrs + Al Salam Complex 1hrs</t>
        </is>
      </c>
      <c r="I33" s="28">
        <f>IFERROR(IF(SUM(C33:G33)&gt;24,"إجمالي &gt; 24 ساعة.",SUM(C33:G33)), "")</f>
        <v/>
      </c>
      <c r="J33" s="70" t="inlineStr">
        <is>
          <t xml:space="preserve">Flat E4 pinte work </t>
        </is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Al Salam Complex 4hrs + Saqia 20 4hrs</t>
        </is>
      </c>
      <c r="I34" s="34">
        <f>IFERROR(IF(SUM(C34:G34)&gt;24,"إجمالي &gt; 24 ساعة.",SUM(C34:G34)), "")</f>
        <v/>
      </c>
      <c r="J34" s="70" t="inlineStr">
        <is>
          <t xml:space="preserve">Star cass  door  work  Flat 0 AC service men door work </t>
        </is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Salam Complex 2hrs + Saqia 20 6hrs</t>
        </is>
      </c>
      <c r="I35" s="28">
        <f>IFERROR(IF(SUM(C35:G35)&gt;24,"إجمالي &gt; 24 ساعة.",SUM(C35:G35)), "")</f>
        <v/>
      </c>
      <c r="J35" s="70" t="inlineStr">
        <is>
          <t xml:space="preserve">Flat 0 AC service </t>
        </is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Salam Complex</t>
        </is>
      </c>
      <c r="I36" s="34">
        <f>IFERROR(IF(SUM(C36:G36)&gt;24,"إجمالي &gt; 24 ساعة.",SUM(C36:G36)), "")</f>
        <v/>
      </c>
      <c r="J36" s="70" t="inlineStr">
        <is>
          <t xml:space="preserve">Flat 0 AC work </t>
        </is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Shahama complex</t>
        </is>
      </c>
      <c r="I7" s="28">
        <f>IFERROR(IF(SUM(C7:G7)&gt;24,"إجمالي &gt; 24 ساعة.",SUM(C7:G7)), "")</f>
        <v/>
      </c>
      <c r="J7" s="70" t="inlineStr">
        <is>
          <t xml:space="preserve">Cleaning work </t>
        </is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Shahama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46116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Farm 826 2hrs + Al Salam Complex 6hrs</t>
        </is>
      </c>
      <c r="I10" s="34">
        <f>IFERROR(IF(SUM(C10:G10)&gt;24,"إجمالي &gt; 24 ساعة.",SUM(C10:G10)), "")</f>
        <v/>
      </c>
      <c r="J10" s="70" t="inlineStr">
        <is>
          <t xml:space="preserve">Cleaning work  Flat 3 work </t>
        </is>
      </c>
    </row>
    <row r="11" ht="32" customHeight="1" s="44">
      <c r="A11" s="61" t="n">
        <v>46117</v>
      </c>
      <c r="B11" s="76" t="inlineStr">
        <is>
          <t>W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Shahama complex</t>
        </is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2" customHeight="1" s="44">
      <c r="A12" s="62" t="n">
        <v>46118</v>
      </c>
      <c r="B12" s="71" t="inlineStr">
        <is>
          <t>AWO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inlineStr">
        <is>
          <t>Weekend</t>
        </is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Shahama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Flat 3 work </t>
        </is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Salam Complex</t>
        </is>
      </c>
      <c r="I14" s="34">
        <f>IFERROR(IF(SUM(C14:G14)&gt;24,"إجمالي &gt; 24 ساعة.",SUM(C14:G14)), "")</f>
        <v/>
      </c>
      <c r="J14" s="70" t="inlineStr">
        <is>
          <t xml:space="preserve">Cleaning work in villa </t>
        </is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46123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Shahama complex</t>
        </is>
      </c>
      <c r="I17" s="28">
        <f>IFERROR(IF(SUM(C17:G17)&gt;24,"إجمالي &gt; 24 ساعة.",SUM(C17:G17)), "")</f>
        <v/>
      </c>
      <c r="J17" s="70" t="inlineStr">
        <is>
          <t xml:space="preserve">Cleaning work in villa </t>
        </is>
      </c>
    </row>
    <row r="18" ht="32" customHeight="1" s="44">
      <c r="A18" s="62" t="n">
        <v>46124</v>
      </c>
      <c r="B18" s="76" t="inlineStr">
        <is>
          <t>W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Shahama complex</t>
        </is>
      </c>
      <c r="I18" s="34">
        <f>IFERROR(IF(SUM(C18:G18)&gt;24,"إجمالي &gt; 24 ساعة.",SUM(C18:G18)), "")</f>
        <v/>
      </c>
      <c r="J18" s="70" t="inlineStr">
        <is>
          <t>Weekend</t>
        </is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Shahama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Flat 3 AC service </t>
        </is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Shahama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</t>
        </is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Shahama complex</t>
        </is>
      </c>
      <c r="I21" s="28">
        <f>IFERROR(IF(SUM(C21:G21)&gt;24,"إجمالي &gt; 24 ساعة.",SUM(C21:G21)), "")</f>
        <v/>
      </c>
      <c r="J21" s="70" t="inlineStr">
        <is>
          <t xml:space="preserve">Cleaning work Flat 0 water heater work </t>
        </is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Shahama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</t>
        </is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 4hrs + Al Shahama complex 4hrs</t>
        </is>
      </c>
      <c r="I23" s="28">
        <f>IFERROR(IF(SUM(C23:G23)&gt;24,"إجمالي &gt; 24 ساعة.",SUM(C23:G23)), "")</f>
        <v/>
      </c>
      <c r="J23" s="70" t="inlineStr">
        <is>
          <t xml:space="preserve">Flat 4 water heater work Cleaning work </t>
        </is>
      </c>
    </row>
    <row r="24" ht="32" customHeight="1" s="44">
      <c r="A24" s="62" t="n">
        <v>46130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Shahama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Flat 3 AC service </t>
        </is>
      </c>
    </row>
    <row r="25" ht="32" customHeight="1" s="44">
      <c r="A25" s="61" t="n">
        <v>46131</v>
      </c>
      <c r="B25" s="76" t="inlineStr">
        <is>
          <t>W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Shahama complex</t>
        </is>
      </c>
      <c r="I25" s="28">
        <f>IFERROR(IF(SUM(C25:G25)&gt;24,"إجمالي &gt; 24 ساعة.",SUM(C25:G25)), "")</f>
        <v/>
      </c>
      <c r="J25" s="70" t="inlineStr">
        <is>
          <t>Weekend</t>
        </is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Shahama complex</t>
        </is>
      </c>
      <c r="I26" s="34">
        <f>IFERROR(IF(SUM(C26:G26)&gt;24,"إجمالي &gt; 24 ساعة.",SUM(C26:G26)), "")</f>
        <v/>
      </c>
      <c r="J26" s="70" t="inlineStr">
        <is>
          <t xml:space="preserve">Cleaning work in villa </t>
        </is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Shahama complex</t>
        </is>
      </c>
      <c r="I27" s="28">
        <f>IFERROR(IF(SUM(C27:G27)&gt;24,"إجمالي &gt; 24 ساعة.",SUM(C27:G27)), "")</f>
        <v/>
      </c>
      <c r="J27" s="70" t="inlineStr">
        <is>
          <t xml:space="preserve">Cleaning work in villa </t>
        </is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Salam Complex</t>
        </is>
      </c>
      <c r="I28" s="34">
        <f>IFERROR(IF(SUM(C28:G28)&gt;24,"إجمالي &gt; 24 ساعة.",SUM(C28:G28)), "")</f>
        <v/>
      </c>
      <c r="J28" s="70" t="inlineStr">
        <is>
          <t xml:space="preserve">Cleaning work in villa </t>
        </is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Shahama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Shahama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46137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Shahama complex 5hrs + Farm 826 3hrs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46138</v>
      </c>
      <c r="B32" s="76" t="inlineStr">
        <is>
          <t>W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Shahama complex</t>
        </is>
      </c>
      <c r="I32" s="34">
        <f>IFERROR(IF(SUM(C32:G32)&gt;24,"إجمالي &gt; 24 ساعة.",SUM(C32:G32)), "")</f>
        <v/>
      </c>
      <c r="J32" s="70" t="inlineStr">
        <is>
          <t>Weekend</t>
        </is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Shahama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</t>
        </is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 4hrs + Saqia 20 4hrs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villa 43 New AC. fixing </t>
        </is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Karama Complex</t>
        </is>
      </c>
      <c r="I35" s="28">
        <f>IFERROR(IF(SUM(C35:G35)&gt;24,"إجمالي &gt; 24 ساعة.",SUM(C35:G35)), "")</f>
        <v/>
      </c>
      <c r="J35" s="70" t="inlineStr">
        <is>
          <t xml:space="preserve">Cleaning work in villa </t>
        </is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Saada Complex</t>
        </is>
      </c>
      <c r="I36" s="34">
        <f>IFERROR(IF(SUM(C36:G36)&gt;24,"إجمالي &gt; 24 ساعة.",SUM(C36:G36)), "")</f>
        <v/>
      </c>
      <c r="J36" s="70" t="inlineStr">
        <is>
          <t>Cleaning work in villa</t>
        </is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Karama Complex 3hrs + Saqia 20 5hrs</t>
        </is>
      </c>
      <c r="I7" s="28">
        <f>IFERROR(IF(SUM(C7:G7)&gt;24,"إجمالي &gt; 24 ساعة.",SUM(C7:G7)), "")</f>
        <v/>
      </c>
      <c r="J7" s="70" t="inlineStr">
        <is>
          <t>saqyia 20. water pump saqyia72 AC work 72</t>
        </is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Abo-Abdullah-Villa 5hrs + Al Karama Complex 3hrs</t>
        </is>
      </c>
      <c r="I8" s="34">
        <f>IFERROR(IF(SUM(C8:G8)&gt;24,"إجمالي &gt; 24 ساعة.",SUM(C8:G8)), "")</f>
        <v/>
      </c>
      <c r="J8" s="70" t="inlineStr">
        <is>
          <t>Cleaning work water pump</t>
        </is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>Flat B6 colour paint D2 colour paint work</t>
        </is>
      </c>
    </row>
    <row r="10" ht="32" customHeight="1" s="44">
      <c r="A10" s="62" t="n">
        <v>46116</v>
      </c>
      <c r="B10" s="71" t="inlineStr">
        <is>
          <t>P</t>
        </is>
      </c>
      <c r="C10" s="72" t="n">
        <v>8</v>
      </c>
      <c r="D10" s="71" t="n">
        <v>2</v>
      </c>
      <c r="E10" s="73" t="n"/>
      <c r="F10" s="74" t="n"/>
      <c r="G10" s="29">
        <f>IF(B10="SL","SL","")</f>
        <v/>
      </c>
      <c r="H10" s="75" t="inlineStr">
        <is>
          <t>Al Karama Complex 4hrs + Al Saada Complex 4hrs</t>
        </is>
      </c>
      <c r="I10" s="34">
        <f>IFERROR(IF(SUM(C10:G10)&gt;24,"إجمالي &gt; 24 ساعة.",SUM(C10:G10)), "")</f>
        <v/>
      </c>
      <c r="J10" s="70" t="inlineStr">
        <is>
          <t xml:space="preserve">D2  work B6 work M.r Abdullah villa work </t>
        </is>
      </c>
    </row>
    <row r="11" ht="32" customHeight="1" s="44">
      <c r="A11" s="61" t="n">
        <v>46117</v>
      </c>
      <c r="B11" s="76" t="inlineStr">
        <is>
          <t>W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yellow villa 128water pump work </t>
        </is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Abo-Abdullah-Villa 4hrs + Home`s Mr.Abdullah 4hrs</t>
        </is>
      </c>
      <c r="I13" s="28">
        <f>IFERROR(IF(SUM(C13:G13)&gt;24,"إجمالي &gt; 24 ساعة.",SUM(C13:G13)), "")</f>
        <v/>
      </c>
      <c r="J13" s="70" t="inlineStr">
        <is>
          <t xml:space="preserve">light switch yellow villa 130 Ac service </t>
        </is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Home`s Mr.Abdullah</t>
        </is>
      </c>
      <c r="I14" s="34">
        <f>IFERROR(IF(SUM(C14:G14)&gt;24,"إجمالي &gt; 24 ساعة.",SUM(C14:G14)), "")</f>
        <v/>
      </c>
      <c r="J14" s="70" t="inlineStr">
        <is>
          <t xml:space="preserve">Cleaning work </t>
        </is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Abo-Abdullah-Villa 1hrs + Al Karama Complex 5hrs + Home`s Mr.Abdullah 2hrs</t>
        </is>
      </c>
      <c r="I15" s="28">
        <f>IFERROR(IF(SUM(C15:G15)&gt;24,"إجمالي &gt; 24 ساعة.",SUM(C15:G15)), "")</f>
        <v/>
      </c>
      <c r="J15" s="70" t="inlineStr">
        <is>
          <t xml:space="preserve">Cleaning work  AC work </t>
        </is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 and villa4 Exhaust fan work </t>
        </is>
      </c>
    </row>
    <row r="17" ht="32" customHeight="1" s="44">
      <c r="A17" s="61" t="n">
        <v>46123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Karama Complex</t>
        </is>
      </c>
      <c r="I17" s="28">
        <f>IFERROR(IF(SUM(C17:G17)&gt;24,"إجمالي &gt; 24 ساعة.",SUM(C17:G17)), "")</f>
        <v/>
      </c>
      <c r="J17" s="70" t="inlineStr">
        <is>
          <t xml:space="preserve">villa 2 door and Exhaust fan work </t>
        </is>
      </c>
    </row>
    <row r="18" ht="32" customHeight="1" s="44">
      <c r="A18" s="62" t="n">
        <v>46124</v>
      </c>
      <c r="B18" s="76" t="inlineStr">
        <is>
          <t>W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</t>
        </is>
      </c>
      <c r="I18" s="34">
        <f>IFERROR(IF(SUM(C18:G18)&gt;24,"إجمالي &gt; 24 ساعة.",SUM(C18:G18)), "")</f>
        <v/>
      </c>
      <c r="J18" s="70" t="inlineStr">
        <is>
          <t>Weekend</t>
        </is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Masjid Al Karama 3hrs + Al Karama Complex 5hrs</t>
        </is>
      </c>
      <c r="I19" s="28">
        <f>IFERROR(IF(SUM(C19:G19)&gt;24,"إجمالي &gt; 24 ساعة.",SUM(C19:G19)), "")</f>
        <v/>
      </c>
      <c r="J19" s="70" t="inlineStr">
        <is>
          <t xml:space="preserve">panet work windoor work </t>
        </is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Karama Complex</t>
        </is>
      </c>
      <c r="I20" s="34">
        <f>IFERROR(IF(SUM(C20:G20)&gt;24,"إجمالي &gt; 24 ساعة.",SUM(C20:G20)), "")</f>
        <v/>
      </c>
      <c r="J20" s="70" t="inlineStr">
        <is>
          <t xml:space="preserve">ExFan fixing AC service </t>
        </is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Masjid Al Karama 5hrs + Al Karama Complex 3hrs</t>
        </is>
      </c>
      <c r="I21" s="28">
        <f>IFERROR(IF(SUM(C21:G21)&gt;24,"إجمالي &gt; 24 ساعة.",SUM(C21:G21)), "")</f>
        <v/>
      </c>
      <c r="J21" s="70" t="inlineStr">
        <is>
          <t xml:space="preserve">Cleaning and Remove selecone </t>
        </is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Masjid Al Karama 3hrs + Home`s Mr.Abdullah 3hrs + Abo-Abdullah-Villa 2hrs</t>
        </is>
      </c>
      <c r="I22" s="34">
        <f>IFERROR(IF(SUM(C21:G21)&gt;24,"إجمالي &gt; 24 ساعة.",SUM(C21:G21)), "")</f>
        <v/>
      </c>
      <c r="J22" s="70" t="inlineStr">
        <is>
          <t xml:space="preserve">Store broken window spray from work </t>
        </is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Home`s Mr.Abdullah</t>
        </is>
      </c>
      <c r="I23" s="28">
        <f>IFERROR(IF(SUM(C23:G23)&gt;24,"إجمالي &gt; 24 ساعة.",SUM(C23:G23)), "")</f>
        <v/>
      </c>
      <c r="J23" s="70" t="inlineStr">
        <is>
          <t xml:space="preserve">Cleaning work </t>
        </is>
      </c>
    </row>
    <row r="24" ht="32" customHeight="1" s="44">
      <c r="A24" s="62" t="n">
        <v>46130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Karama Complex 5hrs + Abo-Abdullah-Villa 3hrs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46131</v>
      </c>
      <c r="B25" s="76" t="inlineStr">
        <is>
          <t>W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Karama Complex</t>
        </is>
      </c>
      <c r="I25" s="28">
        <f>IFERROR(IF(SUM(C25:G25)&gt;24,"إجمالي &gt; 24 ساعة.",SUM(C25:G25)), "")</f>
        <v/>
      </c>
      <c r="J25" s="70" t="inlineStr">
        <is>
          <t>Weekend</t>
        </is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20 4hrs + Al Karama Complex 4hrs</t>
        </is>
      </c>
      <c r="I26" s="34">
        <f>IFERROR(IF(SUM(C26:G26)&gt;24,"إجمالي &gt; 24 ساعة.",SUM(C26:G26)), "")</f>
        <v/>
      </c>
      <c r="J26" s="70" t="inlineStr">
        <is>
          <t xml:space="preserve">villa 2 plants work Clearing work </t>
        </is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Karama Complex</t>
        </is>
      </c>
      <c r="I27" s="28">
        <f>IFERROR(IF(SUM(C27:G27)&gt;24,"إجمالي &gt; 24 ساعة.",SUM(C27:G27)), "")</f>
        <v/>
      </c>
      <c r="J27" s="70" t="inlineStr">
        <is>
          <t xml:space="preserve">Cleaning work in villa Flat 0 water pump work </t>
        </is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Karama Complex 4hrs + Abo-Abdullah-Villa 4hrs</t>
        </is>
      </c>
      <c r="I28" s="34">
        <f>IFERROR(IF(SUM(C28:G28)&gt;24,"إجمالي &gt; 24 ساعة.",SUM(C28:G28)), "")</f>
        <v/>
      </c>
      <c r="J28" s="70" t="inlineStr">
        <is>
          <t xml:space="preserve">Cleaning work in villa </t>
        </is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 3hrs + Al Karama Complex 5hrs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 pinte work </t>
        </is>
      </c>
    </row>
    <row r="30" ht="32" customHeight="1" s="44">
      <c r="A30" s="62" t="n">
        <v>46136</v>
      </c>
      <c r="B30" s="71" t="inlineStr">
        <is>
          <t>P</t>
        </is>
      </c>
      <c r="C30" s="72" t="n"/>
      <c r="D30" s="71" t="n"/>
      <c r="E30" s="74" t="n"/>
      <c r="F30" s="74" t="n"/>
      <c r="G30" s="29">
        <f>IF(B30="SL","SL","")</f>
        <v/>
      </c>
      <c r="H30" s="75" t="inlineStr">
        <is>
          <t>Masjid Al Karama -1hrs + Masjid Al Karama 1hrs</t>
        </is>
      </c>
      <c r="I30" s="34">
        <f>IFERROR(IF(SUM(C30:G30)&gt;24,"إجمالي &gt; 24 ساعة.",SUM(C30:G30)), "")</f>
        <v/>
      </c>
      <c r="J30" s="70" t="inlineStr">
        <is>
          <t xml:space="preserve">Flat E4 Cleaning work door work </t>
        </is>
      </c>
    </row>
    <row r="31" ht="32" customHeight="1" s="44">
      <c r="A31" s="61" t="n">
        <v>46137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 6hrs + Al Karama Complex 2hrs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46138</v>
      </c>
      <c r="B32" s="76" t="inlineStr">
        <is>
          <t>W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Karama Complex</t>
        </is>
      </c>
      <c r="I32" s="34">
        <f>IFERROR(IF(SUM(C32:G32)&gt;24,"إجمالي &gt; 24 ساعة.",SUM(C32:G32)), "")</f>
        <v/>
      </c>
      <c r="J32" s="70" t="inlineStr">
        <is>
          <t>Weekend</t>
        </is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20</t>
        </is>
      </c>
      <c r="I33" s="28">
        <f>IFERROR(IF(SUM(C33:G33)&gt;24,"إجمالي &gt; 24 ساعة.",SUM(C33:G33)), "")</f>
        <v/>
      </c>
      <c r="J33" s="70" t="inlineStr">
        <is>
          <t xml:space="preserve">Flat 4 pinte work </t>
        </is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Shahama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</t>
        </is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Shahama complex</t>
        </is>
      </c>
      <c r="I35" s="28">
        <f>IFERROR(IF(SUM(C35:G35)&gt;24,"إجمالي &gt; 24 ساعة.",SUM(C35:G35)), "")</f>
        <v/>
      </c>
      <c r="J35" s="70" t="inlineStr">
        <is>
          <t xml:space="preserve">Cleaning work in villa </t>
        </is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Shahama complex</t>
        </is>
      </c>
      <c r="I36" s="34">
        <f>IFERROR(IF(SUM(C36:G36)&gt;24,"إجمالي &gt; 24 ساعة.",SUM(C36:G36)), "")</f>
        <v/>
      </c>
      <c r="J36" s="70" t="inlineStr">
        <is>
          <t xml:space="preserve">Cleaning work in villa </t>
        </is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شاهجان جازى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Cleaning work in villa </t>
        </is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46116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in villa </t>
        </is>
      </c>
    </row>
    <row r="11" ht="32" customHeight="1" s="44">
      <c r="A11" s="61" t="n">
        <v>46117</v>
      </c>
      <c r="B11" s="76" t="inlineStr">
        <is>
          <t>W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 xml:space="preserve">Cleaning work </t>
        </is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46123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Cleaning work in villa </t>
        </is>
      </c>
    </row>
    <row r="18" ht="32" customHeight="1" s="44">
      <c r="A18" s="62" t="n">
        <v>46124</v>
      </c>
      <c r="B18" s="76" t="inlineStr">
        <is>
          <t>W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>Weekend</t>
        </is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</t>
        </is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</t>
        </is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 xml:space="preserve">Cleaning work in villa </t>
        </is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</t>
        </is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46130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46131</v>
      </c>
      <c r="B25" s="76" t="inlineStr">
        <is>
          <t>W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>Weekend</t>
        </is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 xml:space="preserve">Cleaning work in villa </t>
        </is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Abo-Abdullah-Villa 2hrs + Al Saada Complex 6hrs</t>
        </is>
      </c>
      <c r="I27" s="28">
        <f>IFERROR(IF(SUM(C27:G27)&gt;24,"إجمالي &gt; 24 ساعة.",SUM(C27:G27)), "")</f>
        <v/>
      </c>
      <c r="J27" s="70" t="inlineStr">
        <is>
          <t xml:space="preserve">Cleaning work in villa </t>
        </is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Abo-Abdullah-Villa 4hrs + Al Saada Complex 4hrs</t>
        </is>
      </c>
      <c r="I28" s="34">
        <f>IFERROR(IF(SUM(C28:G28)&gt;24,"إجمالي &gt; 24 ساعة.",SUM(C28:G28)), "")</f>
        <v/>
      </c>
      <c r="J28" s="70" t="inlineStr">
        <is>
          <t xml:space="preserve">Cleaning work in villa </t>
        </is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46137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46138</v>
      </c>
      <c r="B32" s="76" t="inlineStr">
        <is>
          <t>W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Saada Complex</t>
        </is>
      </c>
      <c r="I32" s="34">
        <f>IFERROR(IF(SUM(C32:G32)&gt;24,"إجمالي &gt; 24 ساعة.",SUM(C32:G32)), "")</f>
        <v/>
      </c>
      <c r="J32" s="70" t="inlineStr">
        <is>
          <t>Weekend</t>
        </is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</t>
        </is>
      </c>
    </row>
    <row r="34" ht="32" customHeight="1" s="44">
      <c r="A34" s="62" t="n">
        <v>46140</v>
      </c>
      <c r="B34" s="77" t="inlineStr">
        <is>
          <t>P</t>
        </is>
      </c>
      <c r="C34" s="72" t="n"/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</t>
        </is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Al Saada Complex</t>
        </is>
      </c>
      <c r="I35" s="28">
        <f>IFERROR(IF(SUM(C35:G35)&gt;24,"إجمالي &gt; 24 ساعة.",SUM(C35:G35)), "")</f>
        <v/>
      </c>
      <c r="J35" s="70" t="inlineStr">
        <is>
          <t xml:space="preserve">Cleaning work in villa </t>
        </is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Al Saada Complex</t>
        </is>
      </c>
      <c r="I36" s="34">
        <f>IFERROR(IF(SUM(C36:G36)&gt;24,"إجمالي &gt; 24 ساعة.",SUM(C36:G36)), "")</f>
        <v/>
      </c>
      <c r="J36" s="70" t="inlineStr">
        <is>
          <t xml:space="preserve">Cleaning work in villa </t>
        </is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2026-04-30T10:33:59Z</dcterms:modified>
  <cp:lastModifiedBy>Office</cp:lastModifiedBy>
  <cp:lastPrinted>2025-12-31T10:30:34Z</cp:lastPrinted>
</cp:coreProperties>
</file>
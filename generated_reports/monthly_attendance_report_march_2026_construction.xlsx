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محمد عرفان مظفر حسين" sheetId="2" state="visible" r:id="rId2"/>
    <sheet name="محمد جمعة" sheetId="3" state="visible" r:id="rId3"/>
    <sheet name="وزير خان حبيب الله خان" sheetId="4" state="visible" r:id="rId4"/>
    <sheet name="عبدالودود عجب خان" sheetId="5" state="visible" r:id="rId5"/>
    <sheet name="برينس كومار بانديت بهارات" sheetId="6" state="visible" r:id="rId6"/>
    <sheet name="راما كانت ياداف سانترا ج ياداف" sheetId="7" state="visible" r:id="rId7"/>
    <sheet name="نظر جان محمد ظاهر" sheetId="8" state="visible" r:id="rId8"/>
    <sheet name="ارشد على عزيز اور الرحمن" sheetId="9" state="visible" r:id="rId9"/>
    <sheet name="محمد مصطفى يوسف  غانم" sheetId="10" state="visible" r:id="rId10"/>
    <sheet name="محمد بلال احمد" sheetId="11" state="visible" r:id="rId11"/>
    <sheet name="محمد ادريس عجب كل" sheetId="12" state="visible" r:id="rId12"/>
    <sheet name=" محمد عويس شير اكبر" sheetId="13" state="visible" r:id="rId13"/>
    <sheet name="ميلكامو مولا بيليو" sheetId="14" state="visible" r:id="rId14"/>
    <sheet name="امارى ميسقى وبيتو" sheetId="15" state="visible" r:id="rId15"/>
    <sheet name="ابابو موجيس نيجيس" sheetId="16" state="visible" r:id="rId16"/>
    <sheet name="باجر انجلال شارهان" sheetId="17" state="visible" r:id="rId17"/>
    <sheet name=" كليم الله شيرال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5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97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13" fillId="11" borderId="5" applyAlignment="1" applyProtection="1" pivotButton="0" quotePrefix="0" xfId="0">
      <alignment horizontal="center"/>
      <protection locked="0" hidden="0"/>
    </xf>
    <xf numFmtId="1" fontId="19" fillId="11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0" fontId="13" fillId="0" borderId="5" applyAlignment="1" applyProtection="1" pivotButton="0" quotePrefix="0" xfId="0">
      <alignment horizontal="center"/>
      <protection locked="0" hidden="0"/>
    </xf>
    <xf numFmtId="1" fontId="15" fillId="0" borderId="5" applyAlignment="1" applyProtection="1" pivotButton="0" quotePrefix="0" xfId="7">
      <alignment horizontal="center" vertical="center"/>
      <protection locked="0" hidden="0"/>
    </xf>
    <xf numFmtId="1" fontId="12" fillId="0" borderId="5" applyAlignment="1" applyProtection="1" pivotButton="0" quotePrefix="0" xfId="7">
      <alignment horizontal="center" vertical="center" readingOrder="2"/>
      <protection locked="0" hidden="0"/>
    </xf>
    <xf numFmtId="1" fontId="12" fillId="0" borderId="5" applyAlignment="1" applyProtection="1" pivotButton="0" quotePrefix="0" xfId="7">
      <alignment horizontal="center" vertical="center"/>
      <protection locked="0" hidden="0"/>
    </xf>
    <xf numFmtId="1" fontId="19" fillId="0" borderId="5" applyAlignment="1" applyProtection="1" pivotButton="0" quotePrefix="0" xfId="7">
      <alignment horizontal="center" vertical="center" wrapText="1" readingOrder="2"/>
      <protection locked="0" hidden="0"/>
    </xf>
    <xf numFmtId="0" fontId="13" fillId="13" borderId="5" applyAlignment="1" applyProtection="1" pivotButton="0" quotePrefix="0" xfId="0">
      <alignment horizontal="center"/>
      <protection locked="0" hidden="0"/>
    </xf>
    <xf numFmtId="0" fontId="13" fillId="14" borderId="5" applyAlignment="1" applyProtection="1" pivotButton="0" quotePrefix="0" xfId="0">
      <alignment horizontal="center"/>
      <protection locked="0" hidden="0"/>
    </xf>
    <xf numFmtId="0" fontId="12" fillId="13" borderId="5" applyAlignment="1" applyProtection="1" pivotButton="0" quotePrefix="0" xfId="6">
      <alignment horizontal="center" vertical="center" readingOrder="2"/>
      <protection locked="0" hidden="0"/>
    </xf>
    <xf numFmtId="0" fontId="12" fillId="0" borderId="5" applyAlignment="1" applyProtection="1" pivotButton="0" quotePrefix="0" xfId="6">
      <alignment horizontal="center" vertical="center" readingOrder="2"/>
      <protection locked="0" hidden="0"/>
    </xf>
    <xf numFmtId="0" fontId="0" fillId="0" borderId="7" applyProtection="1" pivotButton="0" quotePrefix="0" xfId="0">
      <protection locked="0" hidden="0"/>
    </xf>
    <xf numFmtId="1" fontId="12" fillId="8" borderId="5" applyAlignment="1" applyProtection="1" pivotButton="0" quotePrefix="0" xfId="7">
      <alignment horizontal="center" vertical="center" readingOrder="2"/>
      <protection locked="0" hidden="0"/>
    </xf>
    <xf numFmtId="0" fontId="12" fillId="8" borderId="5" applyAlignment="1" applyProtection="1" pivotButton="0" quotePrefix="0" xfId="7">
      <alignment horizontal="center" vertical="center" readingOrder="2"/>
      <protection locked="0" hidden="0"/>
    </xf>
    <xf numFmtId="169" fontId="12" fillId="8" borderId="5" applyAlignment="1" applyProtection="1" pivotButton="0" quotePrefix="0" xfId="7">
      <alignment horizontal="center" vertical="center" readingOrder="2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5" applyAlignment="1" applyProtection="1" pivotButton="0" quotePrefix="0" xfId="1">
      <alignment horizontal="center" vertical="center" readingOrder="2"/>
      <protection locked="0" hidden="0"/>
    </xf>
    <xf numFmtId="0" fontId="16" fillId="0" borderId="5" applyAlignment="1" applyProtection="1" pivotButton="0" quotePrefix="0" xfId="0">
      <alignment horizontal="center" vertical="center" readingOrder="1"/>
      <protection locked="0" hidden="0"/>
    </xf>
    <xf numFmtId="169" fontId="12" fillId="0" borderId="5" applyAlignment="1" applyProtection="1" pivotButton="0" quotePrefix="0" xfId="1">
      <alignment horizontal="center" vertical="center" readingOrder="2"/>
      <protection locked="0" hidden="0"/>
    </xf>
    <xf numFmtId="169" fontId="17" fillId="0" borderId="5" applyAlignment="1" applyProtection="1" pivotButton="0" quotePrefix="0" xfId="1">
      <alignment horizontal="center" vertical="center" readingOrder="2"/>
      <protection locked="0" hidden="0"/>
    </xf>
    <xf numFmtId="0" fontId="12" fillId="10" borderId="5" applyAlignment="1" applyProtection="1" pivotButton="0" quotePrefix="0" xfId="7">
      <alignment horizontal="center" vertical="center" readingOrder="2"/>
      <protection locked="0" hidden="0"/>
    </xf>
    <xf numFmtId="166" fontId="12" fillId="8" borderId="5" applyAlignment="1" applyProtection="1" pivotButton="0" quotePrefix="0" xfId="1">
      <alignment horizontal="center" vertical="center" readingOrder="2"/>
      <protection locked="0" hidden="0"/>
    </xf>
    <xf numFmtId="14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13" applyAlignment="1" applyProtection="1" pivotButton="0" quotePrefix="0" xfId="0">
      <alignment vertical="center" wrapText="1" readingOrder="2"/>
      <protection locked="0" hidden="0"/>
    </xf>
    <xf numFmtId="0" fontId="14" fillId="10" borderId="13" applyAlignment="1" applyProtection="1" pivotButton="0" quotePrefix="0" xfId="3">
      <alignment wrapText="1" readingOrder="2"/>
      <protection locked="0" hidden="0"/>
    </xf>
    <xf numFmtId="0" fontId="0" fillId="10" borderId="0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3500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عرفان مظفر حسين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Waleed Al Amari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inlineStr">
        <is>
          <t>Weekend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inlineStr">
        <is>
          <t>Weekend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3300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جمعة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SL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72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Farm 826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Farm 826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Farm 826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Farm 826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Farm 826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Farm 826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Faya 334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Farm 826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2500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وزير خان حبيب الله خان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Saeed Al Zubaidi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Saeed Al Zubaidi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Saeed Al Zubaidi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2600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عبدالودود عجب خان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72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Saeed Al Zubaidi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Farm 826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Waleed Al Amari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Waleed Al Amari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Faya 334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برينس كومار بانديت بهارات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72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Saeed Al Zubaidi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Saeed Al Zubaidi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Saeed Al Zubaidi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Saeed Al Zubaidi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Saeed Al Zubaidi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Saeed Al Zubaidi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Saeed Al Zubaidi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Saeed Al Zubaidi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Saeed Al Zubaidi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>
        <v>1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>
        <v>2</v>
      </c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راما كانت ياداف سانترا ج ياداف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Saeed Al Zubaidi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Farm 826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Saeed Al Zubaidi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Saeed Al Zubaidi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Saeed Al Zubaidi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Saeed Al Zubaidi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Saeed Al Zubaidi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Farm 826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>
        <v>1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>
        <v>2</v>
      </c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نظر جان محمد ظاهر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Abdullah Aljunaibi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>
        <v>3</v>
      </c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inlineStr">
        <is>
          <t>تنزيل حديد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>
        <v>3</v>
      </c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inlineStr">
        <is>
          <t>تنزيل طابوق</t>
        </is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>
        <v>3</v>
      </c>
      <c r="E14" s="74" t="n"/>
      <c r="F14" s="74" t="n"/>
      <c r="G14" s="29">
        <f>IF(B14="SL","SL","")</f>
        <v/>
      </c>
      <c r="H14" s="75" t="inlineStr">
        <is>
          <t>Waleed Al Amari</t>
        </is>
      </c>
      <c r="I14" s="34">
        <f>IFERROR(IF(SUM(C14:G14)&gt;24,"إجمالي &gt; 24 ساعة.",SUM(C14:G14)), "")</f>
        <v/>
      </c>
      <c r="J14" s="70" t="inlineStr">
        <is>
          <t xml:space="preserve">تكسير الخرسانة 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>
        <v>1</v>
      </c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>
        <v>2</v>
      </c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ارشد على عزيز اور الرحمن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>
        <v>3</v>
      </c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inlineStr">
        <is>
          <t>تنزيل حديد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>
        <v>3</v>
      </c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inlineStr">
        <is>
          <t>Weekend تنزيل طابوق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>
        <v>3</v>
      </c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inlineStr">
        <is>
          <t>عمل إضافي في المزرعة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>
        <v>1</v>
      </c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Waleed Al Amari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>
        <v>2</v>
      </c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3000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مصطفى يوسف  غانم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Saeed Al Zubaidi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V</t>
        </is>
      </c>
      <c r="C29" s="68" t="n"/>
      <c r="D29" s="68" t="n"/>
      <c r="E29" s="68" t="n"/>
      <c r="F29" s="68" t="n"/>
      <c r="G29" s="26">
        <f>IF(B29="SL","SL","")</f>
        <v/>
      </c>
      <c r="H29" s="69" t="n">
        <v/>
      </c>
      <c r="I29" s="28">
        <f>IFERROR(IF(SUM(C29:G29)&gt;24,"إجمالي &gt; 24 ساعة.",SUM(C29:G29)), "")</f>
        <v/>
      </c>
      <c r="J29" s="70" t="inlineStr">
        <is>
          <t>Last day was 22 Mar</t>
        </is>
      </c>
    </row>
    <row r="30" ht="32" customHeight="1" s="44">
      <c r="A30" s="62" t="n">
        <v>46105</v>
      </c>
      <c r="B30" s="71" t="inlineStr">
        <is>
          <t>V</t>
        </is>
      </c>
      <c r="C30" s="72" t="n"/>
      <c r="D30" s="71" t="n"/>
      <c r="E30" s="74" t="n"/>
      <c r="F30" s="74" t="n"/>
      <c r="G30" s="29">
        <f>IF(B30="SL","SL","")</f>
        <v/>
      </c>
      <c r="H30" s="75" t="n">
        <v/>
      </c>
      <c r="I30" s="34">
        <f>IFERROR(IF(SUM(C30:G30)&gt;24,"إجمالي &gt; 24 ساعة.",SUM(C30:G30)), "")</f>
        <v/>
      </c>
      <c r="J30" s="70" t="n">
        <v/>
      </c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9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9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96" t="n"/>
    </row>
    <row r="34" ht="30" customHeight="1" s="44">
      <c r="A34" s="62" t="n"/>
      <c r="B34" s="79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9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96" t="n"/>
    </row>
    <row r="36" ht="30" customHeight="1" s="44">
      <c r="A36" s="62" t="n"/>
      <c r="B36" s="79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9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96" t="n"/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بلال احمد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Saeed Al Zubaidi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Saeed Al Zubaidi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Saeed Al Zubaidi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Saeed Al Zubaidi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Saeed Al Zubaidi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Saeed Al Zubaidi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Saeed Al Zubaidi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Saeed Al Zubaidi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Saeed Al Zubaidi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Saeed Al Zubaidi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ادريس عجب كل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>
        <v>3</v>
      </c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inlineStr">
        <is>
          <t>تنزيل حديد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Waleed Al Amari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Waleed Al Amari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>
        <v>3</v>
      </c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inlineStr">
        <is>
          <t>عمل إضافي في المزرعة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>
        <v>1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>
        <v>2</v>
      </c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محمد عويس شير اكبر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inlineStr">
        <is>
          <t>لسا مريض</t>
        </is>
      </c>
    </row>
    <row r="33" ht="32" customHeight="1" s="44">
      <c r="A33" s="61" t="n">
        <v>46108</v>
      </c>
      <c r="B33" s="68" t="inlineStr">
        <is>
          <t>SL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inlineStr">
        <is>
          <t>غياب مرضي</t>
        </is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SL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inlineStr">
        <is>
          <t>اجازة مرضية</t>
        </is>
      </c>
    </row>
    <row r="36" ht="32" customHeight="1" s="44">
      <c r="A36" s="62" t="n">
        <v>46111</v>
      </c>
      <c r="B36" s="79" t="inlineStr">
        <is>
          <t>A</t>
        </is>
      </c>
      <c r="C36" s="72" t="n"/>
      <c r="D36" s="74" t="n"/>
      <c r="E36" s="74" t="n"/>
      <c r="F36" s="74" t="n"/>
      <c r="G36" s="29" t="n"/>
      <c r="H36" s="75" t="n">
        <v/>
      </c>
      <c r="I36" s="34">
        <f>IFERROR(IF(SUM(C36:G36)&gt;24,"إجمالي &gt; 24 ساعة.",SUM(C36:G36)), "")</f>
        <v/>
      </c>
      <c r="J36" s="70" t="inlineStr">
        <is>
          <t>لسا مريض</t>
        </is>
      </c>
    </row>
    <row r="37" ht="32" customHeight="1" s="44">
      <c r="A37" s="61" t="n">
        <v>46112</v>
      </c>
      <c r="B37" s="68" t="inlineStr">
        <is>
          <t>A</t>
        </is>
      </c>
      <c r="C37" s="68" t="n"/>
      <c r="D37" s="68" t="n"/>
      <c r="E37" s="68" t="n"/>
      <c r="F37" s="68" t="n"/>
      <c r="G37" s="26" t="n"/>
      <c r="H37" s="69" t="n">
        <v/>
      </c>
      <c r="I37" s="28">
        <f>IFERROR(IF(SUM(C37:G37)&gt;24,"إجمالي &gt; 24 ساعة.",SUM(C37:G37)), "")</f>
        <v/>
      </c>
      <c r="J37" s="70" t="inlineStr">
        <is>
          <t>لسا مريض</t>
        </is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ميلكامو مولا بيليو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>
        <v>3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inlineStr">
        <is>
          <t>عمل إضافي في سالم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>
        <v>1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>
        <v>2</v>
      </c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امارى ميسقى وبيتو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Farm 826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Saeed Al Zubaidi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>
        <v>3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inlineStr">
        <is>
          <t>عمل إضافي في سالم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Saeed Al Zubaidi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Saeed Al Zubaidi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Saeed Al Zubaidi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Saeed Al Zubaidi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Saeed Al Zubaidi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>
        <v>1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>
        <v>2</v>
      </c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ابابو موجيس نيجيس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Saeed Al Zubaidi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Saeed Al Zubaidi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Saeed Al Zubaidi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Saeed Al Zubaidi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>
        <v>3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inlineStr">
        <is>
          <t>عمل إضافي في سالم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Saeed Al Zubaidi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Saeed Al Zubaidi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Saeed Al Zubaidi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Saeed Al Zubaidi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Saeed Al Zubaidi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>
        <v>1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>
        <v>2</v>
      </c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باجر انجلال شارهان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Abdullah Aljunaibi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>
        <v>3</v>
      </c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inlineStr">
        <is>
          <t>تنزيل حديد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>
        <v>3</v>
      </c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inlineStr">
        <is>
          <t>تنزيل طابوق</t>
        </is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>
        <v>3</v>
      </c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inlineStr">
        <is>
          <t>Weekend تنزيل طابوق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>
        <v>3</v>
      </c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inlineStr">
        <is>
          <t>عمل إضافي في المزرعة</t>
        </is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>
        <v>1</v>
      </c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Waleed Al Amari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>
        <v>2</v>
      </c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كليم الله شيرال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Saeed Al Zubaidi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76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46094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Saeed Al Zubaidi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46095</v>
      </c>
      <c r="B20" s="76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46096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46097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46098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46099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46100</v>
      </c>
      <c r="B25" s="77" t="inlineStr">
        <is>
          <t>H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inlineStr">
        <is>
          <t>Holiday</t>
        </is>
      </c>
    </row>
    <row r="26" ht="32" customHeight="1" s="44">
      <c r="A26" s="62" t="n">
        <v>46101</v>
      </c>
      <c r="B26" s="77" t="inlineStr">
        <is>
          <t>H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inlineStr">
        <is>
          <t>Holiday</t>
        </is>
      </c>
    </row>
    <row r="27" ht="32" customHeight="1" s="44">
      <c r="A27" s="61" t="n">
        <v>46102</v>
      </c>
      <c r="B27" s="77" t="inlineStr">
        <is>
          <t>H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Holiday</t>
        </is>
      </c>
    </row>
    <row r="28" ht="32" customHeight="1" s="44">
      <c r="A28" s="62" t="n">
        <v>46103</v>
      </c>
      <c r="B28" s="77" t="inlineStr">
        <is>
          <t>H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inlineStr">
        <is>
          <t>Holiday</t>
        </is>
      </c>
    </row>
    <row r="29" ht="32" customHeight="1" s="44">
      <c r="A29" s="61" t="n">
        <v>46104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inlineStr">
        <is>
          <t>Holiday</t>
        </is>
      </c>
    </row>
    <row r="30" ht="32" customHeight="1" s="44">
      <c r="A30" s="62" t="n">
        <v>46105</v>
      </c>
      <c r="B30" s="71" t="inlineStr">
        <is>
          <t>P</t>
        </is>
      </c>
      <c r="C30" s="72" t="n">
        <v>8</v>
      </c>
      <c r="D30" s="71" t="n">
        <v>2</v>
      </c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46106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46107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46108</v>
      </c>
      <c r="B33" s="68" t="inlineStr">
        <is>
          <t>P</t>
        </is>
      </c>
      <c r="C33" s="68" t="n">
        <v>8</v>
      </c>
      <c r="D33" s="68" t="n">
        <v>1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46109</v>
      </c>
      <c r="B34" s="78" t="inlineStr">
        <is>
          <t>W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2" customHeight="1" s="44">
      <c r="A35" s="61" t="n">
        <v>46110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46111</v>
      </c>
      <c r="B36" s="79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2" customHeight="1" s="44">
      <c r="A37" s="61" t="n">
        <v>46112</v>
      </c>
      <c r="B37" s="68" t="inlineStr">
        <is>
          <t>P</t>
        </is>
      </c>
      <c r="C37" s="68" t="n">
        <v>8</v>
      </c>
      <c r="D37" s="68" t="n">
        <v>2</v>
      </c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>
        <v/>
      </c>
    </row>
    <row r="38" ht="30" customHeight="1" s="44">
      <c r="A38" s="54" t="inlineStr">
        <is>
          <t>إجمالي عدد الساعات :</t>
        </is>
      </c>
      <c r="B38" s="80" t="n"/>
      <c r="C38" s="81">
        <f>SUM(C7:C37) -  (COUNTIF(B7:B37, "AWO") * 8)</f>
        <v/>
      </c>
      <c r="D38" s="82">
        <f>IFERROR(SUM(D7:D37), "")</f>
        <v/>
      </c>
      <c r="E38" s="82">
        <f>IFERROR(SUM(E7:E37), "")</f>
        <v/>
      </c>
      <c r="F38" s="82">
        <f>IFERROR(SUM(F7:F37), "")</f>
        <v/>
      </c>
      <c r="G38" s="13" t="n"/>
      <c r="H38" s="83" t="n"/>
      <c r="I38" s="32" t="inlineStr">
        <is>
          <t>الملاحظات :</t>
        </is>
      </c>
      <c r="J38" s="84" t="n"/>
    </row>
    <row r="39" ht="30" customHeight="1" s="44">
      <c r="A39" s="54" t="inlineStr">
        <is>
          <t>إجمالي عدد ايام الدوام :</t>
        </is>
      </c>
      <c r="B39" s="80" t="n"/>
      <c r="C39" s="85">
        <f>COUNTIF(B7:B37, "P") + COUNTIF(B7:B37, "W") + COUNTIF(B7:B37, "H") + COUNTIF(B7:B37, "A") + COUNTIF(B7:B37, "AWO")-C40</f>
        <v/>
      </c>
      <c r="D39" s="85" t="n"/>
      <c r="E39" s="85" t="n"/>
      <c r="F39" s="85" t="n"/>
      <c r="G39" s="35" t="inlineStr">
        <is>
          <t>الاجازات المرضية</t>
        </is>
      </c>
      <c r="H39" s="86">
        <f>COUNTIF(B7:B37,"sl")</f>
        <v/>
      </c>
      <c r="I39" s="46">
        <f>COUNTIFS(G7:G37, "SL", G7:G37, "&lt;=3")</f>
        <v/>
      </c>
      <c r="J39" s="84" t="n"/>
    </row>
    <row r="40" ht="37.2" customHeight="1" s="44">
      <c r="A40" s="54" t="inlineStr">
        <is>
          <t>إجمالي عدد ايام الغياب :</t>
        </is>
      </c>
      <c r="B40" s="80" t="n"/>
      <c r="C40" s="85">
        <f>COUNTIF(B7:B37,"A")+COUNTIF(B7:B37,"AWO")*2</f>
        <v/>
      </c>
      <c r="D40" s="85" t="n"/>
      <c r="E40" s="85" t="n"/>
      <c r="F40" s="85" t="n"/>
      <c r="G40" s="33" t="inlineStr">
        <is>
          <t>قيمة الخصم الاضافي</t>
        </is>
      </c>
      <c r="H40" s="87" t="n">
        <v>0</v>
      </c>
      <c r="I40" s="47" t="n"/>
      <c r="J40" s="84" t="n"/>
    </row>
    <row r="41" ht="37.2" customHeight="1" s="44">
      <c r="A41" s="54" t="inlineStr">
        <is>
          <t>قيمة الخصم :</t>
        </is>
      </c>
      <c r="B41" s="80" t="n"/>
      <c r="C41" s="88">
        <f>COUNTIF(B7:B37,"AWO") * 2 * I3 +COUNTIF(B7:B37, "A") * I3</f>
        <v/>
      </c>
      <c r="D41" s="85" t="n"/>
      <c r="E41" s="85" t="n"/>
      <c r="F41" s="89" t="n"/>
      <c r="G41" s="35" t="inlineStr">
        <is>
          <t>مجموع الخصم :</t>
        </is>
      </c>
      <c r="H41" s="87">
        <f>SUM(C41+H40)</f>
        <v/>
      </c>
      <c r="I41" s="48" t="n"/>
      <c r="J41" s="84" t="n"/>
    </row>
    <row r="42" ht="37.2" customHeight="1" s="44">
      <c r="A42" s="54" t="inlineStr">
        <is>
          <t>إجمالي الأجر بعد الخصم :</t>
        </is>
      </c>
      <c r="B42" s="80" t="n"/>
      <c r="C42" s="90">
        <f>IF(F4&lt;&gt;"", I2/(DAY(EOMONTH(F2,0))*8)*C38, "")</f>
        <v/>
      </c>
      <c r="D42" s="90">
        <f>IFERROR(I2/(DAY(EOMONTH(F2,0))*8)*1.25*D38, "")</f>
        <v/>
      </c>
      <c r="E42" s="90">
        <f>IFERROR(I2/(DAY(EOMONTH(F2,0))*8)*1.5*E38, "")</f>
        <v/>
      </c>
      <c r="F42" s="90">
        <f>IFERROR(I2/(DAY(EOMONTH(F2,0))*8)*2.5*F38, "")</f>
        <v/>
      </c>
      <c r="G42" s="66" t="inlineStr">
        <is>
          <t>: الإجمالي</t>
        </is>
      </c>
      <c r="H42" s="80" t="n"/>
      <c r="I42" s="67">
        <f>IFERROR(SUM(C42:F42), "") - H40</f>
        <v/>
      </c>
      <c r="J42" s="84" t="n"/>
    </row>
    <row r="43" ht="34.2" customHeight="1" s="44">
      <c r="A43" s="17" t="inlineStr">
        <is>
          <t xml:space="preserve">التاريخ : </t>
        </is>
      </c>
      <c r="B43" s="91">
        <f>TODAY()</f>
        <v/>
      </c>
      <c r="C43" s="92" t="n"/>
      <c r="D43" s="93" t="inlineStr">
        <is>
          <t xml:space="preserve">توقيع الموظف : </t>
        </is>
      </c>
      <c r="E43" s="93" t="n"/>
      <c r="F43" s="93" t="n"/>
      <c r="G43" s="23" t="inlineStr">
        <is>
          <t xml:space="preserve">توقيع المدير : </t>
        </is>
      </c>
      <c r="H43" s="94" t="n"/>
      <c r="I43" s="18" t="n"/>
      <c r="J43" s="84" t="n"/>
    </row>
    <row r="44">
      <c r="A44" s="19" t="n"/>
      <c r="B44" s="95" t="n"/>
      <c r="C44" s="95" t="n"/>
      <c r="D44" s="95" t="n"/>
      <c r="E44" s="95" t="n"/>
      <c r="F44" s="95" t="n"/>
      <c r="G44" s="19" t="n"/>
      <c r="H44" s="95" t="n"/>
      <c r="I44" s="19" t="n"/>
      <c r="J44" s="84" t="n"/>
    </row>
    <row r="45">
      <c r="A45" s="19" t="n"/>
      <c r="B45" s="95" t="n"/>
      <c r="C45" s="95" t="n"/>
      <c r="D45" s="95" t="n"/>
      <c r="E45" s="95" t="n"/>
      <c r="F45" s="95" t="n"/>
      <c r="G45" s="19" t="n"/>
      <c r="H45" s="95" t="n"/>
      <c r="I45" s="19" t="n"/>
      <c r="J45" s="84" t="n"/>
    </row>
    <row r="46">
      <c r="B46" s="84" t="n"/>
      <c r="C46" s="84" t="n"/>
      <c r="D46" s="84" t="n"/>
      <c r="E46" s="84" t="n"/>
      <c r="F46" s="84" t="n"/>
      <c r="H46" s="84" t="n"/>
      <c r="J46" s="84" t="n"/>
    </row>
    <row r="47">
      <c r="B47" s="84" t="n"/>
      <c r="C47" s="84" t="n"/>
      <c r="D47" s="84" t="n"/>
      <c r="E47" s="84" t="n"/>
      <c r="F47" s="84" t="n"/>
      <c r="H47" s="84" t="n"/>
      <c r="J47" s="84" t="n"/>
    </row>
    <row r="48">
      <c r="B48" s="84" t="n"/>
      <c r="C48" s="84" t="n"/>
      <c r="D48" s="84" t="n"/>
      <c r="E48" s="84" t="n"/>
      <c r="F48" s="84" t="n"/>
      <c r="H48" s="84" t="n"/>
      <c r="J48" s="84" t="n"/>
    </row>
    <row r="49">
      <c r="B49" s="84" t="n"/>
      <c r="C49" s="84" t="n"/>
      <c r="D49" s="84" t="n"/>
      <c r="E49" s="84" t="n"/>
      <c r="F49" s="84" t="n"/>
      <c r="H49" s="84" t="n"/>
      <c r="J49" s="84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2026-03-31T07:13:08Z</dcterms:modified>
  <cp:lastModifiedBy>Office</cp:lastModifiedBy>
  <cp:lastPrinted>2025-12-31T10:30:34Z</cp:lastPrinted>
</cp:coreProperties>
</file>
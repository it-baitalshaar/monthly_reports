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عدنان محمد يوسف" sheetId="8" state="visible" r:id="rId8"/>
    <sheet name="محمد رضوان فاروق احمد اختر" sheetId="9" state="visible" r:id="rId9"/>
    <sheet name="نظر جان محمد ظاهر" sheetId="10" state="visible" r:id="rId10"/>
    <sheet name="ارشد على عزيز اور الرحمن" sheetId="11" state="visible" r:id="rId11"/>
    <sheet name="تامانج جولشان" sheetId="12" state="visible" r:id="rId12"/>
    <sheet name="محمد مصطفى يوسف  غانم" sheetId="13" state="visible" r:id="rId13"/>
    <sheet name="عجب خان" sheetId="14" state="visible" r:id="rId14"/>
    <sheet name="حفيظ الله" sheetId="15" state="visible" r:id="rId15"/>
    <sheet name="شمس الرحمن" sheetId="16" state="visible" r:id="rId16"/>
    <sheet name="رحمت الله" sheetId="17" state="visible" r:id="rId17"/>
    <sheet name="محمد بلال احمد" sheetId="18" state="visible" r:id="rId18"/>
    <sheet name="محمد ادريس عجب كل" sheetId="19" state="visible" r:id="rId19"/>
    <sheet name=" محمد عويس شير اكبر" sheetId="20" state="visible" r:id="rId20"/>
    <sheet name="نداء الله محمد ايوب خان" sheetId="21" state="visible" r:id="rId21"/>
    <sheet name="بلال خان سعيد رحمن" sheetId="22" state="visible" r:id="rId22"/>
    <sheet name="ميلكامو مولا بيليو" sheetId="23" state="visible" r:id="rId23"/>
    <sheet name="امارى ميسقى وبيتو" sheetId="24" state="visible" r:id="rId24"/>
    <sheet name="ابابو موجيس نيجيس" sheetId="25" state="visible" r:id="rId25"/>
    <sheet name="باجر انجلال شارهان" sheetId="26" state="visible" r:id="rId26"/>
    <sheet name=" كليم الله شيرال" sheetId="27" state="visible" r:id="rId27"/>
    <sheet name="محمد شاهجان جازى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4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IF(F4="January", I2/248*C38, "")</f>
        <v/>
      </c>
      <c r="D42" s="16">
        <f>IFERROR(I2/248*1.25*D38, "")</f>
        <v/>
      </c>
      <c r="E42" s="16">
        <f>IFERROR(I2/248*1.5*E38, "")</f>
        <v/>
      </c>
      <c r="F42" s="16">
        <f>IFERROR(I2/248*2.5*F38,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Waleed Al Amari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Faya 334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Faya 334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Faya 334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Faya 334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Faya 334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Abo-Abdullah-Villa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Faya 334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Farm 826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Faya 334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Faya 334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Faya 334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Faya 334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Faya 334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Faya 334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Faya 334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Faya 334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Faya 334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Faya 334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Faya 334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Faya 334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Faya 334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Faya 334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Faya 334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Faya 334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Faya 334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Faya 334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Faya 334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Faya 334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Faya 334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Faya 334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Faya 334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Faya 334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Faya 334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Faya 334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Faya 334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Faya 334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Waleed Al Amari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Alanoud Al qubaisi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Alanoud Al qubaisi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Faya 334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Saeed Al Zubaidi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Farm 826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Abo-Abdullah-Villa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Faya 334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Faya 334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Faya 334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Saeed Al Zubaidi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Saeed Al Zubaidi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Saeed Al Zubaidi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Faya 334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AWO</t>
        </is>
      </c>
      <c r="C7" s="68" t="n"/>
      <c r="D7" s="68" t="n"/>
      <c r="E7" s="68" t="n"/>
      <c r="F7" s="68" t="n"/>
      <c r="G7" s="26" t="n"/>
      <c r="H7" s="69" t="n"/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Abo-Abdullah-Villa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Saeed Al Zubaidi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AWO</t>
        </is>
      </c>
      <c r="C7" s="68" t="n"/>
      <c r="D7" s="68" t="n"/>
      <c r="E7" s="68" t="n"/>
      <c r="F7" s="68" t="n"/>
      <c r="G7" s="26" t="n"/>
      <c r="H7" s="69" t="n"/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Saeed Al Zubaidi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Abo-Abdullah-Villa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Abo-Abdullah-Villa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Abo-Abdullah-Villa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Abo-Abdullah-Villa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Abo-Abdullah-Villa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عدنان محمد يوسف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Saeed Al Zubaidi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Saeed Al Zubaidi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Saeed Al Zubaidi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Saeed Al Zubaidi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Saeed Al Zubaidi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Saeed Al Zubaidi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Saeed Al Zubaidi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Saeed Al Zubaidi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Saeed Al Zubaidi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Saeed Al Zubaidi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Saeed Al Zubaidi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Saeed Al Zubaidi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Saeed Al Zubaidi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رضوان فاروق احمد اختر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V</t>
        </is>
      </c>
      <c r="C7" s="68" t="n"/>
      <c r="D7" s="68" t="n"/>
      <c r="E7" s="68" t="n"/>
      <c r="F7" s="68" t="n"/>
      <c r="G7" s="26" t="n"/>
      <c r="H7" s="69" t="n"/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V</t>
        </is>
      </c>
      <c r="C8" s="72" t="n"/>
      <c r="D8" s="71" t="n"/>
      <c r="E8" s="73" t="n"/>
      <c r="F8" s="74" t="n"/>
      <c r="G8" s="29">
        <f>IF(B8="SL","SL","")</f>
        <v/>
      </c>
      <c r="H8" s="75" t="n"/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V</t>
        </is>
      </c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V</t>
        </is>
      </c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V</t>
        </is>
      </c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V</t>
        </is>
      </c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V</t>
        </is>
      </c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0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93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93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93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93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93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93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93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93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93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93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93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93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93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93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93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93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93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93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93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93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93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93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93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93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Waleed Al Amari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6</v>
      </c>
      <c r="E13" s="68" t="n"/>
      <c r="F13" s="68" t="n"/>
      <c r="G13" s="26">
        <f>IF(B13="SL","SL","")</f>
        <v/>
      </c>
      <c r="H13" s="69" t="inlineStr">
        <is>
          <t>Abo-Abdullah-Villa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>
        <v>4</v>
      </c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inlineStr">
        <is>
          <t>تنزيل طابوق</t>
        </is>
      </c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Waleed Al Amari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Abo-Abdullah-Villa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Abo-Abdullah-Villa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Abo-Abdullah-Villa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Abo-Abdullah-Villa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Farm 826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Farm 826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تامانج جولشان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V</t>
        </is>
      </c>
      <c r="C7" s="68" t="n"/>
      <c r="D7" s="68" t="n"/>
      <c r="E7" s="68" t="n"/>
      <c r="F7" s="68" t="n"/>
      <c r="G7" s="26" t="n"/>
      <c r="H7" s="69" t="n"/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V</t>
        </is>
      </c>
      <c r="C8" s="72" t="n"/>
      <c r="D8" s="71" t="n"/>
      <c r="E8" s="73" t="n"/>
      <c r="F8" s="74" t="n"/>
      <c r="G8" s="29">
        <f>IF(B8="SL","SL","")</f>
        <v/>
      </c>
      <c r="H8" s="75" t="n"/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V</t>
        </is>
      </c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V</t>
        </is>
      </c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V</t>
        </is>
      </c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V</t>
        </is>
      </c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V</t>
        </is>
      </c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V</t>
        </is>
      </c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V</t>
        </is>
      </c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V</t>
        </is>
      </c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V</t>
        </is>
      </c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V</t>
        </is>
      </c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V</t>
        </is>
      </c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V</t>
        </is>
      </c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V</t>
        </is>
      </c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V</t>
        </is>
      </c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V</t>
        </is>
      </c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V</t>
        </is>
      </c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V</t>
        </is>
      </c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V</t>
        </is>
      </c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V</t>
        </is>
      </c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V</t>
        </is>
      </c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V</t>
        </is>
      </c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V</t>
        </is>
      </c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V</t>
        </is>
      </c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V</t>
        </is>
      </c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V</t>
        </is>
      </c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V</t>
        </is>
      </c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V</t>
        </is>
      </c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0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93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93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Saeed Al Zubaidi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H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holiday of  new year </t>
        </is>
      </c>
    </row>
    <row r="8" ht="32" customHeight="1" s="44">
      <c r="A8" s="62" t="n">
        <v>46024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 3hrs + Saqia 20 5hrs</t>
        </is>
      </c>
      <c r="I8" s="34">
        <f>IFERROR(IF(SUM(C8:G8)&gt;24,"إجمالي &gt; 24 ساعة.",SUM(C8:G8)), "")</f>
        <v/>
      </c>
      <c r="J8" s="70" t="inlineStr">
        <is>
          <t xml:space="preserve">we make pipe in P20  also  72 cover pipe </t>
        </is>
      </c>
    </row>
    <row r="9" ht="32" customHeight="1" s="44">
      <c r="A9" s="61" t="n">
        <v>46025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 3hrs + Abo-Abdullah-Villa 5hrs</t>
        </is>
      </c>
      <c r="I9" s="28">
        <f>IFERROR(IF(SUM(C9:G9)&gt;24,"إجمالي &gt; 24 ساعة.",SUM(C9:G9)), "")</f>
        <v/>
      </c>
      <c r="J9" s="70" t="inlineStr">
        <is>
          <t>I fix water leaking in. flat E3. also I. Baba home we open drain line in basement area</t>
        </is>
      </c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>Weekly off</t>
        </is>
      </c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 4hrs + Al Saada Complex 4hrs</t>
        </is>
      </c>
      <c r="I11" s="28">
        <f>IFERROR(IF(SUM(C11:G11)&gt;24,"إجمالي &gt; 24 ساعة.",SUM(C11:G11)), "")</f>
        <v/>
      </c>
      <c r="J11" s="70" t="inlineStr">
        <is>
          <t xml:space="preserve">I bring material for Baba home  cealling  also painting 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Abo-Abdullah-Villa</t>
        </is>
      </c>
      <c r="I12" s="34">
        <f>IFERROR(IF(SUM(C12:G12)&gt;24,"إجمالي &gt; 24 ساعة.",SUM(C12:G12)), "")</f>
        <v/>
      </c>
      <c r="J12" s="70" t="inlineStr">
        <is>
          <t>we painting in 130 villa . also k1 outer paint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Abo-Abdullah-Villa 5hrs + Home`s Mr.Abdullah 3hrs</t>
        </is>
      </c>
      <c r="I13" s="28">
        <f>IFERROR(IF(SUM(C13:G13)&gt;24,"إجمالي &gt; 24 ساعة.",SUM(C13:G13)), "")</f>
        <v/>
      </c>
      <c r="J13" s="70" t="inlineStr">
        <is>
          <t>we fix cealling in first floor also  we painting work in villa 130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 4hrs + Farm 826 4hrs</t>
        </is>
      </c>
      <c r="I14" s="34">
        <f>IFERROR(IF(SUM(C14:G14)&gt;24,"إجمالي &gt; 24 ساعة.",SUM(C14:G14)), "")</f>
        <v/>
      </c>
      <c r="J14" s="70" t="inlineStr">
        <is>
          <t xml:space="preserve">we clean villa . switch close. outer villa  clean. 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 2hrs + Home`s Mr.Abdullah 6hrs</t>
        </is>
      </c>
      <c r="I15" s="28">
        <f>IFERROR(IF(SUM(C15:G15)&gt;24,"إجمالي &gt; 24 ساعة.",SUM(C15:G15)), "")</f>
        <v/>
      </c>
      <c r="J15" s="70" t="inlineStr">
        <is>
          <t xml:space="preserve">we fix Ciramic in arbab home  . 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 3hrs + Al Shahama complex 5hrs</t>
        </is>
      </c>
      <c r="I16" s="34">
        <f>IFERROR(IF(SUM(C16:G16)&gt;24,"إجمالي &gt; 24 ساعة.",SUM(C16:G16)), "")</f>
        <v/>
      </c>
      <c r="J16" s="70" t="inlineStr">
        <is>
          <t xml:space="preserve">we fix led lights in shahama. also   we make ppr pipe 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>wee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 3hrs + Al Shahama complex 5hrs</t>
        </is>
      </c>
      <c r="I18" s="34">
        <f>IFERROR(IF(SUM(C18:G18)&gt;24,"إجمالي &gt; 24 ساعة.",SUM(C18:G18)), "")</f>
        <v/>
      </c>
      <c r="J18" s="70" t="inlineStr">
        <is>
          <t xml:space="preserve">I go mussafha I bring. bed for. farm people. Alsaada  ppr pipe line we start  changing all 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 3hrs + Abo-Abdullah-Villa 5hrs</t>
        </is>
      </c>
      <c r="I19" s="28">
        <f>IFERROR(IF(SUM(C19:G19)&gt;24,"إجمالي &gt; 24 ساعة.",SUM(C19:G19)), "")</f>
        <v/>
      </c>
      <c r="J19" s="70" t="inlineStr">
        <is>
          <t xml:space="preserve">we clean drange . also some lights changed in Baba home. Alsaada we fix wire for ac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 3hrs + Al Salam Complex 5hrs</t>
        </is>
      </c>
      <c r="I20" s="34">
        <f>IFERROR(IF(SUM(C20:G20)&gt;24,"إجمالي &gt; 24 ساعة.",SUM(C20:G20)), "")</f>
        <v/>
      </c>
      <c r="J20" s="70" t="inlineStr">
        <is>
          <t xml:space="preserve">I bring material for Alsaada compound also for Baba home 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 6hrs + Saqia 20 2hrs</t>
        </is>
      </c>
      <c r="I21" s="28">
        <f>IFERROR(IF(SUM(C21:G21)&gt;24,"إجمالي &gt; 24 ساعة.",SUM(C21:G21)), "")</f>
        <v/>
      </c>
      <c r="J21" s="70" t="inlineStr">
        <is>
          <t xml:space="preserve">we make one lockdoor for offic 15  .also I purchased for Baba home Ac material 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Salam Complex 3hrs + Abo-Abdullah-Villa 5hrs</t>
        </is>
      </c>
      <c r="I22" s="34">
        <f>IFERROR(IF(SUM(C21:G21)&gt;24,"إجمالي &gt; 24 ساعة.",SUM(C21:G21)), "")</f>
        <v/>
      </c>
      <c r="J22" s="70" t="inlineStr">
        <is>
          <t xml:space="preserve">we fix Ac in Baba home . also we chak door sensor in  salam villa 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Abo-Abdullah-Villa 5hrs + Al Salam Complex 3hrs</t>
        </is>
      </c>
      <c r="I23" s="28">
        <f>IFERROR(IF(SUM(C23:G23)&gt;24,"إجمالي &gt; 24 ساعة.",SUM(C23:G23)), "")</f>
        <v/>
      </c>
      <c r="J23" s="70" t="inlineStr">
        <is>
          <t>we fix indoor Ac in new room. also in salam villa flat 1 Ac work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Abo-Abdullah-Villa</t>
        </is>
      </c>
      <c r="I25" s="28">
        <f>IFERROR(IF(SUM(C25:G25)&gt;24,"إجمالي &gt; 24 ساعة.",SUM(C25:G25)), "")</f>
        <v/>
      </c>
      <c r="J25" s="70" t="inlineStr">
        <is>
          <t xml:space="preserve">we removed play area shade  I give in misses for repair 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Home`s Mr.Abdullah 3hrs + Al Shahama complex 5hrs</t>
        </is>
      </c>
      <c r="I26" s="34">
        <f>IFERROR(IF(SUM(C26:G26)&gt;24,"إجمالي &gt; 24 ساعة.",SUM(C26:G26)), "")</f>
        <v/>
      </c>
      <c r="J26" s="70" t="inlineStr">
        <is>
          <t xml:space="preserve">I provide pain for my team. they started painting 🎨 in arbab home. ply area . shahmma we changed 2 water heater 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 5hrs + M38_P107 3hrs</t>
        </is>
      </c>
      <c r="I27" s="28">
        <f>IFERROR(IF(SUM(C27:G27)&gt;24,"إجمالي &gt; 24 ساعة.",SUM(C27:G27)), "")</f>
        <v/>
      </c>
      <c r="J27" s="70" t="inlineStr">
        <is>
          <t>we fix door for store in Alsaada compound. also we fix manhole in 107 area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Karama Complex 3hrs + Farm 826 5hrs</t>
        </is>
      </c>
      <c r="I28" s="34">
        <f>IFERROR(IF(SUM(C28:G28)&gt;24,"إجمالي &gt; 24 ساعة.",SUM(C28:G28)), "")</f>
        <v/>
      </c>
      <c r="J28" s="70" t="inlineStr">
        <is>
          <t xml:space="preserve">we broke toilet floor in villa 4.also I go fram villa. we clean . 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 5hrs + Al Saada Complex 3hrs</t>
        </is>
      </c>
      <c r="I29" s="28">
        <f>IFERROR(IF(SUM(C29:G29)&gt;24,"إجمالي &gt; 24 ساعة.",SUM(C29:G29)), "")</f>
        <v/>
      </c>
      <c r="J29" s="70" t="inlineStr">
        <is>
          <t xml:space="preserve">we check leakage in d6 flat also we fix Ciramic in villa k4 toilet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 5hrs + Adil Villa 3hrs</t>
        </is>
      </c>
      <c r="I30" s="34">
        <f>IFERROR(IF(SUM(C30:G30)&gt;24,"إجمالي &gt; 24 ساعة.",SUM(C30:G30)), "")</f>
        <v/>
      </c>
      <c r="J30" s="70" t="inlineStr">
        <is>
          <t>I give. fridge to machanic in mussafha. also we make maintenance in adil villa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Weekly off . I bring fridge for arbab home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Karama Complex 3hrs + Al Saada Complex 5hrs</t>
        </is>
      </c>
      <c r="I32" s="34">
        <f>IFERROR(IF(SUM(C32:G32)&gt;24,"إجمالي &gt; 24 ساعة.",SUM(C32:G32)), "")</f>
        <v/>
      </c>
      <c r="J32" s="70" t="inlineStr">
        <is>
          <t xml:space="preserve">I bring material for baba home  also for adill villa 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 4hrs + Home`s Mr.Abdullah 4hrs</t>
        </is>
      </c>
      <c r="I33" s="28">
        <f>IFERROR(IF(SUM(C33:G33)&gt;24,"إجمالي &gt; 24 ساعة.",SUM(C33:G33)), "")</f>
        <v/>
      </c>
      <c r="J33" s="70" t="inlineStr">
        <is>
          <t>I provide material for Alsaada water heater also we fix pipes in arbab home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Home`s Mr.Abdullah 4hrs + Al Karama Complex 4hrs</t>
        </is>
      </c>
      <c r="I34" s="34">
        <f>IFERROR(IF(SUM(C34:G34)&gt;24,"إجمالي &gt; 24 ساعة.",SUM(C34:G34)), "")</f>
        <v/>
      </c>
      <c r="J34" s="70" t="inlineStr">
        <is>
          <t>I bring material for karama villa 1.also we fix ply area tarpal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Home`s Mr.Abdullah 4hrs + Al Shahama complex 4hrs</t>
        </is>
      </c>
      <c r="I35" s="28">
        <f>IFERROR(IF(SUM(C35:G35)&gt;24,"إجمالي &gt; 24 ساعة.",SUM(C35:G35)), "")</f>
        <v/>
      </c>
      <c r="J35" s="70" t="inlineStr">
        <is>
          <t xml:space="preserve">I bring gas stove for farm villa.also we. fix  shade in arbab home 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Karama Complex 4hrs + Al Salam Complex 4hrs</t>
        </is>
      </c>
      <c r="I36" s="34">
        <f>IFERROR(IF(SUM(C36:G36)&gt;24,"إجمالي &gt; 24 ساعة.",SUM(C36:G36)), "")</f>
        <v/>
      </c>
      <c r="J36" s="70" t="inlineStr">
        <is>
          <t xml:space="preserve">we planting in Alsaada also we fix water pump in alkarama 0 flat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Shahama complex 4hrs + Al Saada Complex 4hrs</t>
        </is>
      </c>
      <c r="I37" s="28">
        <f>IFERROR(IF(SUM(C37:G37)&gt;24,"إجمالي &gt; 24 ساعة.",SUM(C37:G37)), "")</f>
        <v/>
      </c>
      <c r="J37" s="70" t="inlineStr">
        <is>
          <t>we put insulation  in Baba home. also  I bring bed for shban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H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holiday day new year </t>
        </is>
      </c>
    </row>
    <row r="8" ht="32" customHeight="1" s="44">
      <c r="A8" s="62" t="n">
        <v>46024</v>
      </c>
      <c r="B8" s="71" t="inlineStr">
        <is>
          <t>SL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he have fractured </t>
        </is>
      </c>
    </row>
    <row r="9" ht="32" customHeight="1" s="44">
      <c r="A9" s="61" t="n">
        <v>46025</v>
      </c>
      <c r="B9" s="68" t="inlineStr">
        <is>
          <t>SL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he sick. </t>
        </is>
      </c>
    </row>
    <row r="10" ht="32" customHeight="1" s="44">
      <c r="A10" s="62" t="n">
        <v>46026</v>
      </c>
      <c r="B10" s="71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Weekly off </t>
        </is>
      </c>
    </row>
    <row r="11" ht="32" customHeight="1" s="44">
      <c r="A11" s="61" t="n">
        <v>46027</v>
      </c>
      <c r="B11" s="68" t="inlineStr">
        <is>
          <t>A</t>
        </is>
      </c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0" t="inlineStr">
        <is>
          <t>he is in the room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</t>
        </is>
      </c>
      <c r="I12" s="34">
        <f>IFERROR(IF(SUM(C12:G12)&gt;24,"إجمالي &gt; 24 ساعة.",SUM(C12:G12)), "")</f>
        <v/>
      </c>
      <c r="J12" s="70" t="inlineStr">
        <is>
          <t>he make water leaking. also door 🎨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 3hrs + Al Saada Complex 5hrs</t>
        </is>
      </c>
      <c r="I13" s="28">
        <f>IFERROR(IF(SUM(C13:G13)&gt;24,"إجمالي &gt; 24 ساعة.",SUM(C13:G13)), "")</f>
        <v/>
      </c>
      <c r="J13" s="70" t="inlineStr">
        <is>
          <t>in 130villa he  painting work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 5hrs + Home`s Mr.Abdullah 3hrs</t>
        </is>
      </c>
      <c r="I14" s="34">
        <f>IFERROR(IF(SUM(C14:G14)&gt;24,"إجمالي &gt; 24 ساعة.",SUM(C14:G14)), "")</f>
        <v/>
      </c>
      <c r="J14" s="70" t="inlineStr">
        <is>
          <t>cleaning stor also b5 Ac check. 132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>he check Ac in b5 flat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 also raping Ac pipe 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>Weekly off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>he fix ppr pipe also  one Ac work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Ac wair fix for A1 flat. ppr pipe work on e villa 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>ppr pipe line  fix on the roof of e villa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 xml:space="preserve">he fix  posters for ppr pipe 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Abo-Abdullah-Villa</t>
        </is>
      </c>
      <c r="I22" s="34">
        <f>IFERROR(IF(SUM(C21:G21)&gt;24,"إجمالي &gt; 24 ساعة.",SUM(C21:G21)), "")</f>
        <v/>
      </c>
      <c r="J22" s="70" t="inlineStr">
        <is>
          <t xml:space="preserve">he fix Ac work in Baba home 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Abo-Abdullah-Villa</t>
        </is>
      </c>
      <c r="I23" s="28">
        <f>IFERROR(IF(SUM(C23:G23)&gt;24,"إجمالي &gt; 24 ساعة.",SUM(C23:G23)), "")</f>
        <v/>
      </c>
      <c r="J23" s="70" t="inlineStr">
        <is>
          <t xml:space="preserve">ac fix in Baba home 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Home`s Mr.Abdullah</t>
        </is>
      </c>
      <c r="I25" s="28">
        <f>IFERROR(IF(SUM(C25:G25)&gt;24,"إجمالي &gt; 24 ساعة.",SUM(C25:G25)), "")</f>
        <v/>
      </c>
      <c r="J25" s="70" t="inlineStr">
        <is>
          <t>he remove play area  shade in Arbab home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Home`s Mr.Abdullah</t>
        </is>
      </c>
      <c r="I26" s="34">
        <f>IFERROR(IF(SUM(C26:G26)&gt;24,"إجمالي &gt; 24 ساعة.",SUM(C26:G26)), "")</f>
        <v/>
      </c>
      <c r="J26" s="70" t="inlineStr">
        <is>
          <t>painting pipe for shade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>he fix door for  store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Karama Complex</t>
        </is>
      </c>
      <c r="I28" s="34">
        <f>IFERROR(IF(SUM(C28:G28)&gt;24,"إجمالي &gt; 24 ساعة.",SUM(C28:G28)), "")</f>
        <v/>
      </c>
      <c r="J28" s="70" t="inlineStr">
        <is>
          <t xml:space="preserve">he broke floor in villa 4 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water leaking search also pipe make in d6 flat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Adil Villa</t>
        </is>
      </c>
      <c r="I30" s="34">
        <f>IFERROR(IF(SUM(C30:G30)&gt;24,"إجمالي &gt; 24 ساعة.",SUM(C30:G30)), "")</f>
        <v/>
      </c>
      <c r="J30" s="70" t="inlineStr">
        <is>
          <t xml:space="preserve">lights and water heater work. 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Weekly off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 xml:space="preserve">he fix cealling also  cleaning work 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 xml:space="preserve">he fix water heater also sinks mixer 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>watch main duty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</t>
        </is>
      </c>
      <c r="I35" s="28">
        <f>IFERROR(IF(SUM(C35:G35)&gt;24,"إجمالي &gt; 24 ساعة.",SUM(C35:G35)), "")</f>
        <v/>
      </c>
      <c r="J35" s="70" t="inlineStr">
        <is>
          <t xml:space="preserve">watch Man work 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 xml:space="preserve">he plantings in  Alsaada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Abo-Abdullah-Villa</t>
        </is>
      </c>
      <c r="I37" s="28">
        <f>IFERROR(IF(SUM(C37:G37)&gt;24,"إجمالي &gt; 24 ساعة.",SUM(C37:G37)), "")</f>
        <v/>
      </c>
      <c r="J37" s="70" t="inlineStr">
        <is>
          <t>he put insulation  on Ac pipe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Shahama complex</t>
        </is>
      </c>
      <c r="I7" s="28">
        <f>IFERROR(IF(SUM(C7:G7)&gt;24,"إجمالي &gt; 24 ساعة.",SUM(C7:G7)), "")</f>
        <v/>
      </c>
      <c r="J7" s="70" t="inlineStr">
        <is>
          <t>new year off</t>
        </is>
      </c>
    </row>
    <row r="8" ht="32" customHeight="1" s="44">
      <c r="A8" s="62" t="n">
        <v>46024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Shahama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46025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Shahama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1</v>
      </c>
      <c r="E10" s="73" t="n"/>
      <c r="F10" s="74" t="n"/>
      <c r="G10" s="29">
        <f>IF(B10="SL","SL","")</f>
        <v/>
      </c>
      <c r="H10" s="75" t="inlineStr">
        <is>
          <t>Al Shahama complex</t>
        </is>
      </c>
      <c r="I10" s="34">
        <f>IFERROR(IF(SUM(C10:G10)&gt;24,"إجمالي &gt; 24 ساعة.",SUM(C10:G10)), "")</f>
        <v/>
      </c>
      <c r="J10" s="70" t="inlineStr">
        <is>
          <t xml:space="preserve">Week off also cleaning </t>
        </is>
      </c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Shahama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in villa 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Shahama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1</v>
      </c>
      <c r="E13" s="68" t="n"/>
      <c r="F13" s="68" t="n"/>
      <c r="G13" s="26">
        <f>IF(B13="SL","SL","")</f>
        <v/>
      </c>
      <c r="H13" s="69" t="inlineStr">
        <is>
          <t>Al Shahama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also Ac work 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1</v>
      </c>
      <c r="E14" s="74" t="n"/>
      <c r="F14" s="74" t="n"/>
      <c r="G14" s="29">
        <f>IF(B14="SL","SL","")</f>
        <v/>
      </c>
      <c r="H14" s="75" t="inlineStr">
        <is>
          <t>Al Shahama complex 4hrs + Farm 826 4hrs</t>
        </is>
      </c>
      <c r="I14" s="34">
        <f>IFERROR(IF(SUM(C14:G14)&gt;24,"إجمالي &gt; 24 ساعة.",SUM(C14:G14)), "")</f>
        <v/>
      </c>
      <c r="J14" s="70" t="inlineStr">
        <is>
          <t>Cleaning work in villa also farm villa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Shahama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>
        <v>2</v>
      </c>
      <c r="F17" s="68" t="n"/>
      <c r="G17" s="26">
        <f>IF(B17="SL","SL","")</f>
        <v/>
      </c>
      <c r="H17" s="69" t="inlineStr">
        <is>
          <t>Al Shahama complex</t>
        </is>
      </c>
      <c r="I17" s="28">
        <f>IFERROR(IF(SUM(C17:G17)&gt;24,"إجمالي &gt; 24 ساعة.",SUM(C17:G17)), "")</f>
        <v/>
      </c>
      <c r="J17" s="70" t="inlineStr">
        <is>
          <t xml:space="preserve">Weekly off cleaning work 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Shahama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Shahama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Shahama complex</t>
        </is>
      </c>
      <c r="I21" s="28">
        <f>IFERROR(IF(SUM(C21:G21)&gt;24,"إجمالي &gt; 24 ساعة.",SUM(C21:G21)), "")</f>
        <v/>
      </c>
      <c r="J21" s="70" t="inlineStr">
        <is>
          <t xml:space="preserve">Cleaning work in villa 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Shahama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Shahama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>
        <v>1</v>
      </c>
      <c r="F24" s="74" t="n"/>
      <c r="G24" s="29">
        <f>IF(B24="SL","SL","")</f>
        <v/>
      </c>
      <c r="H24" s="75" t="inlineStr">
        <is>
          <t>Al Shahama complex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Shahama complex</t>
        </is>
      </c>
      <c r="I25" s="28">
        <f>IFERROR(IF(SUM(C25:G25)&gt;24,"إجمالي &gt; 24 ساعة.",SUM(C25:G25)), "")</f>
        <v/>
      </c>
      <c r="J25" s="70" t="inlineStr">
        <is>
          <t>he  clean villa also water leaking cheak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</t>
        </is>
      </c>
      <c r="I26" s="34">
        <f>IFERROR(IF(SUM(C26:G26)&gt;24,"إجمالي &gt; 24 ساعة.",SUM(C26:G26)), "")</f>
        <v/>
      </c>
      <c r="J26" s="70" t="inlineStr">
        <is>
          <t>Cleaning work in villa . also change water heater 2pcs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Shahama complex</t>
        </is>
      </c>
      <c r="I27" s="28">
        <f>IFERROR(IF(SUM(C27:G27)&gt;24,"إجمالي &gt; 24 ساعة.",SUM(C27:G27)), "")</f>
        <v/>
      </c>
      <c r="J27" s="70" t="inlineStr">
        <is>
          <t>he cleaning Ac in flat 0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Farm 826</t>
        </is>
      </c>
      <c r="I28" s="34">
        <f>IFERROR(IF(SUM(C28:G28)&gt;24,"إجمالي &gt; 24 ساعة.",SUM(C28:G28)), "")</f>
        <v/>
      </c>
      <c r="J28" s="70" t="inlineStr">
        <is>
          <t xml:space="preserve">Cleaning work in villa 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Shahama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Shahama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>
        <v>2</v>
      </c>
      <c r="F31" s="68" t="n"/>
      <c r="G31" s="26">
        <f>IF(B31="SL","SL","")</f>
        <v/>
      </c>
      <c r="H31" s="69" t="inlineStr">
        <is>
          <t>Al Shahama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Shahama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Shahama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1</v>
      </c>
      <c r="E34" s="74" t="n"/>
      <c r="F34" s="74" t="n"/>
      <c r="G34" s="29">
        <f>IF(B34="SL","SL","")</f>
        <v/>
      </c>
      <c r="H34" s="75" t="inlineStr">
        <is>
          <t>Al Shahama complex</t>
        </is>
      </c>
      <c r="I34" s="34">
        <f>IFERROR(IF(SUM(C34:G34)&gt;24,"إجمالي &gt; 24 ساعة.",SUM(C34:G34)), "")</f>
        <v/>
      </c>
      <c r="J34" s="70" t="inlineStr">
        <is>
          <t>Cleaning work in villa . also electric. reset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Shahama complex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Shahama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Shahama complex</t>
        </is>
      </c>
      <c r="I37" s="28">
        <f>IFERROR(IF(SUM(C37:G37)&gt;24,"إجمالي &gt; 24 ساعة.",SUM(C37:G37)), "")</f>
        <v/>
      </c>
      <c r="J37" s="70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Salam Complex</t>
        </is>
      </c>
      <c r="I7" s="28">
        <f>IFERROR(IF(SUM(C7:G7)&gt;24,"إجمالي &gt; 24 ساعة.",SUM(C7:G7)), "")</f>
        <v/>
      </c>
      <c r="J7" s="70" t="inlineStr">
        <is>
          <t>new year off</t>
        </is>
      </c>
    </row>
    <row r="8" ht="32" customHeight="1" s="44">
      <c r="A8" s="62" t="n">
        <v>46024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20 5hrs + Home`s Mr.Abdullah 3hrs</t>
        </is>
      </c>
      <c r="I8" s="34">
        <f>IFERROR(IF(SUM(C8:G8)&gt;24,"إجمالي &gt; 24 ساعة.",SUM(C8:G8)), "")</f>
        <v/>
      </c>
      <c r="J8" s="70" t="inlineStr">
        <is>
          <t>he make pipe also fosters work</t>
        </is>
      </c>
    </row>
    <row r="9" ht="32" customHeight="1" s="44">
      <c r="A9" s="61" t="n">
        <v>46025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Abo-Abdullah-Villa 4hrs + Al Karama Complex 4hrs</t>
        </is>
      </c>
      <c r="I9" s="28">
        <f>IFERROR(IF(SUM(C9:G9)&gt;24,"إجمالي &gt; 24 ساعة.",SUM(C9:G9)), "")</f>
        <v/>
      </c>
      <c r="J9" s="70" t="inlineStr">
        <is>
          <t xml:space="preserve">he fix led lights in Baba home . k2 Ac worke </t>
        </is>
      </c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1</v>
      </c>
      <c r="E10" s="73" t="n"/>
      <c r="F10" s="74" t="n"/>
      <c r="G10" s="29">
        <f>IF(B10="SL","SL","")</f>
        <v/>
      </c>
      <c r="H10" s="75" t="inlineStr">
        <is>
          <t>Al Salam Complex</t>
        </is>
      </c>
      <c r="I10" s="34">
        <f>IFERROR(IF(SUM(C10:G10)&gt;24,"إجمالي &gt; 24 ساعة.",SUM(C10:G10)), "")</f>
        <v/>
      </c>
      <c r="J10" s="70" t="inlineStr">
        <is>
          <t xml:space="preserve">Weekly off  also cleaning work </t>
        </is>
      </c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bascom fix I k 1 villa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 4hrs + Al Karama Complex 4hrs</t>
        </is>
      </c>
      <c r="I12" s="34">
        <f>IFERROR(IF(SUM(C12:G12)&gt;24,"إجمالي &gt; 24 ساعة.",SUM(C12:G12)), "")</f>
        <v/>
      </c>
      <c r="J12" s="70" t="inlineStr">
        <is>
          <t>Cleaning work in villa . also painting work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Abo-Abdullah-Villa</t>
        </is>
      </c>
      <c r="I13" s="28">
        <f>IFERROR(IF(SUM(C13:G13)&gt;24,"إجمالي &gt; 24 ساعة.",SUM(C13:G13)), "")</f>
        <v/>
      </c>
      <c r="J13" s="70" t="inlineStr">
        <is>
          <t xml:space="preserve">he fix cealling  work  in Baba home 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 4hrs + Farm 826 4hrs</t>
        </is>
      </c>
      <c r="I14" s="34">
        <f>IFERROR(IF(SUM(C14:G14)&gt;24,"إجمالي &gt; 24 ساعة.",SUM(C14:G14)), "")</f>
        <v/>
      </c>
      <c r="J14" s="70" t="inlineStr">
        <is>
          <t>Cleaning work in villa . parking line make. cleaning farm villa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he fix. Ciramic also cleaning work. 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Salam Complex 3hrs + Al Shahama complex 5hrs</t>
        </is>
      </c>
      <c r="I16" s="34">
        <f>IFERROR(IF(SUM(C16:G16)&gt;24,"إجمالي &gt; 24 ساعة.",SUM(C16:G16)), "")</f>
        <v/>
      </c>
      <c r="J16" s="70" t="inlineStr">
        <is>
          <t>lights fix also cleaning work in salam villa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Salam Complex</t>
        </is>
      </c>
      <c r="I17" s="28">
        <f>IFERROR(IF(SUM(C17:G17)&gt;24,"إجمالي &gt; 24 ساعة.",SUM(C17:G17)), "")</f>
        <v/>
      </c>
      <c r="J17" s="70" t="inlineStr">
        <is>
          <t xml:space="preserve">Weekly off 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Salam Complex 1hrs + Abo-Abdullah-Villa 7hrs</t>
        </is>
      </c>
      <c r="I18" s="34">
        <f>IFERROR(IF(SUM(C18:G18)&gt;24,"إجمالي &gt; 24 ساعة.",SUM(C18:G18)), "")</f>
        <v/>
      </c>
      <c r="J18" s="70" t="inlineStr">
        <is>
          <t>he fix light in Baba home . also cleaning in villa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Abo-Abdullah-Villa 5hrs + Home`s Mr.Abdullah 3hrs</t>
        </is>
      </c>
      <c r="I19" s="28">
        <f>IFERROR(IF(SUM(C19:G19)&gt;24,"إجمالي &gt; 24 ساعة.",SUM(C19:G19)), "")</f>
        <v/>
      </c>
      <c r="J19" s="70" t="inlineStr">
        <is>
          <t xml:space="preserve">he changed lights in Baba home also some cleaning work. 132villa. fix. ner for window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Salam Complex 4hrs + Al Karama Complex 4hrs</t>
        </is>
      </c>
      <c r="I20" s="34">
        <f>IFERROR(IF(SUM(C20:G20)&gt;24,"إجمالي &gt; 24 ساعة.",SUM(C20:G20)), "")</f>
        <v/>
      </c>
      <c r="J20" s="70" t="inlineStr">
        <is>
          <t>Cleaning work in villa  salam . also Ac work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Saqia 20 2hrs + Al Salam Complex 6hrs</t>
        </is>
      </c>
      <c r="I21" s="28">
        <f>IFERROR(IF(SUM(C21:G21)&gt;24,"إجمالي &gt; 24 ساعة.",SUM(C21:G21)), "")</f>
        <v/>
      </c>
      <c r="J21" s="70" t="inlineStr">
        <is>
          <t>he make  door lock. also some  cleaning works in villa salam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Salam Complex 4hrs + Abo-Abdullah-Villa 4hrs</t>
        </is>
      </c>
      <c r="I22" s="34">
        <f>IFERROR(IF(SUM(C21:G21)&gt;24,"إجمالي &gt; 24 ساعة.",SUM(C21:G21)), "")</f>
        <v/>
      </c>
      <c r="J22" s="70" t="inlineStr">
        <is>
          <t>Cleaning work in villa salam. also Baba home work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Salam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. also Ac work in flat 1 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Salam Complex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1</v>
      </c>
      <c r="E25" s="68" t="n"/>
      <c r="F25" s="68" t="n"/>
      <c r="G25" s="26">
        <f>IF(B25="SL","SL","")</f>
        <v/>
      </c>
      <c r="H25" s="69" t="inlineStr">
        <is>
          <t>Home`s Mr.Abdullah</t>
        </is>
      </c>
      <c r="I25" s="28">
        <f>IFERROR(IF(SUM(C25:G25)&gt;24,"إجمالي &gt; 24 ساعة.",SUM(C25:G25)), "")</f>
        <v/>
      </c>
      <c r="J25" s="70" t="inlineStr">
        <is>
          <t xml:space="preserve">he remove play area shade in arbab home . 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</t>
        </is>
      </c>
      <c r="I26" s="34">
        <f>IFERROR(IF(SUM(C26:G26)&gt;24,"إجمالي &gt; 24 ساعة.",SUM(C26:G26)), "")</f>
        <v/>
      </c>
      <c r="J26" s="70" t="inlineStr">
        <is>
          <t>he changed water heater in flt2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M38_P107 3hrs + Al Saada Complex 5hrs</t>
        </is>
      </c>
      <c r="I27" s="28">
        <f>IFERROR(IF(SUM(C27:G27)&gt;24,"إجمالي &gt; 24 ساعة.",SUM(C27:G27)), "")</f>
        <v/>
      </c>
      <c r="J27" s="70" t="inlineStr">
        <is>
          <t>he fix manhole also door fix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Karama Complex</t>
        </is>
      </c>
      <c r="I28" s="34">
        <f>IFERROR(IF(SUM(C28:G28)&gt;24,"إجمالي &gt; 24 ساعة.",SUM(C28:G28)), "")</f>
        <v/>
      </c>
      <c r="J28" s="70" t="inlineStr">
        <is>
          <t>he broke toilet floor in villa 4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 4hrs + Abo-Abdullah-Villa 4hrs</t>
        </is>
      </c>
      <c r="I29" s="28">
        <f>IFERROR(IF(SUM(C29:G29)&gt;24,"إجمالي &gt; 24 ساعة.",SUM(C29:G29)), "")</f>
        <v/>
      </c>
      <c r="J29" s="70" t="inlineStr">
        <is>
          <t xml:space="preserve">he  clean in Baba home. mainhol. also karam 4  toilets 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Adil Villa</t>
        </is>
      </c>
      <c r="I30" s="34">
        <f>IFERROR(IF(SUM(C30:G30)&gt;24,"إجمالي &gt; 24 ساعة.",SUM(C30:G30)), "")</f>
        <v/>
      </c>
      <c r="J30" s="70" t="inlineStr">
        <is>
          <t xml:space="preserve">he fix light and water heater.. in adill villa 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>
        <v>1</v>
      </c>
      <c r="F31" s="68" t="n"/>
      <c r="G31" s="26">
        <f>IF(B31="SL","SL","")</f>
        <v/>
      </c>
      <c r="H31" s="69" t="inlineStr">
        <is>
          <t>Al Salam Complex</t>
        </is>
      </c>
      <c r="I31" s="28">
        <f>IFERROR(IF(SUM(C31:G31)&gt;24,"إجمالي &gt; 24 ساعة.",SUM(C31:G31)), "")</f>
        <v/>
      </c>
      <c r="J31" s="70" t="inlineStr">
        <is>
          <t xml:space="preserve">Weekly off also cleaning work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1</v>
      </c>
      <c r="E32" s="74" t="n"/>
      <c r="F32" s="74" t="n"/>
      <c r="G32" s="29">
        <f>IF(B32="SL","SL","")</f>
        <v/>
      </c>
      <c r="H32" s="75" t="inlineStr">
        <is>
          <t>Al Karama Complex</t>
        </is>
      </c>
      <c r="I32" s="34">
        <f>IFERROR(IF(SUM(C32:G32)&gt;24,"إجمالي &gt; 24 ساعة.",SUM(C32:G32)), "")</f>
        <v/>
      </c>
      <c r="J32" s="70" t="inlineStr">
        <is>
          <t xml:space="preserve">he make  welding 🥽 for pipe 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Home`s Mr.Abdullah</t>
        </is>
      </c>
      <c r="I33" s="28">
        <f>IFERROR(IF(SUM(C33:G33)&gt;24,"إجمالي &gt; 24 ساعة.",SUM(C33:G33)), "")</f>
        <v/>
      </c>
      <c r="J33" s="70" t="inlineStr">
        <is>
          <t>Cleaning work in villa also he fix pipe for shade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Home`s Mr.Abdullah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. also. play area shade fix 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1</v>
      </c>
      <c r="E35" s="68" t="n"/>
      <c r="F35" s="68" t="n"/>
      <c r="G35" s="26">
        <f>IF(B35="SL","SL","")</f>
        <v/>
      </c>
      <c r="H35" s="69" t="inlineStr">
        <is>
          <t>Home`s Mr.Abdullah 6hrs + Al Salam Complex 2hrs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salam. also fix shade in arbab home 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Salam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Home`s Mr.Abdullah</t>
        </is>
      </c>
      <c r="I37" s="28">
        <f>IFERROR(IF(SUM(C37:G37)&gt;24,"إجمالي &gt; 24 ساعة.",SUM(C37:G37)), "")</f>
        <v/>
      </c>
      <c r="J37" s="70" t="inlineStr">
        <is>
          <t xml:space="preserve">he put inside on Ac pipe 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Abo-Abdullah-Villa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Abo-Abdullah-Villa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Abo-Abdullah-Villa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Abo-Abdullah-Villa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Abo-Abdullah-Villa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Abo-Abdullah-Villa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Abo-Abdullah-Villa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Abo-Abdullah-Villa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Saeed Al Zubaidi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Abo-Abdullah-Villa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Abo-Abdullah-Villa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Abo-Abdullah-Villa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Abo-Abdullah-Villa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Abo-Abdullah-Villa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Abo-Abdullah-Villa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Abo-Abdullah-Villa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Saqia 72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>
        <v>4</v>
      </c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inlineStr">
        <is>
          <t xml:space="preserve">تنزيل طابوق </t>
        </is>
      </c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H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>holiday new year</t>
        </is>
      </c>
    </row>
    <row r="8" ht="32" customHeight="1" s="44">
      <c r="A8" s="62" t="n">
        <v>46024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painting work in flat b4 </t>
        </is>
      </c>
    </row>
    <row r="9" ht="32" customHeight="1" s="44">
      <c r="A9" s="61" t="n">
        <v>46025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 4hrs + Abo-Abdullah-Villa 4hrs</t>
        </is>
      </c>
      <c r="I9" s="28">
        <f>IFERROR(IF(SUM(C9:G9)&gt;24,"إجمالي &gt; 24 ساعة.",SUM(C9:G9)), "")</f>
        <v/>
      </c>
      <c r="J9" s="70" t="inlineStr">
        <is>
          <t>Cleaning work in villa of Baba. k2 shade fix for water tank</t>
        </is>
      </c>
    </row>
    <row r="10" ht="32" customHeight="1" s="44">
      <c r="A10" s="62" t="n">
        <v>46026</v>
      </c>
      <c r="B10" s="71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Home`s Mr.Abdullah</t>
        </is>
      </c>
      <c r="I10" s="34">
        <f>IFERROR(IF(SUM(C10:G10)&gt;24,"إجمالي &gt; 24 ساعة.",SUM(C10:G10)), "")</f>
        <v/>
      </c>
      <c r="J10" s="70" t="inlineStr">
        <is>
          <t xml:space="preserve">Weekly off </t>
        </is>
      </c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in villa 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>painting and repair work villa 1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</t>
        </is>
      </c>
      <c r="I13" s="28">
        <f>IFERROR(IF(SUM(C13:G13)&gt;24,"إجمالي &gt; 24 ساعة.",SUM(C13:G13)), "")</f>
        <v/>
      </c>
      <c r="J13" s="70" t="inlineStr">
        <is>
          <t>he painting main door for villa 130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 xml:space="preserve">painting work 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>Cleaning work in villa  also Ciramic work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Home`s Mr.Abdullah</t>
        </is>
      </c>
      <c r="I17" s="28">
        <f>IFERROR(IF(SUM(C17:G17)&gt;24,"إجمالي &gt; 24 ساعة.",SUM(C17:G17)), "")</f>
        <v/>
      </c>
      <c r="J17" s="70" t="inlineStr">
        <is>
          <t xml:space="preserve">Weekly off 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ppr pipe work also some cleaning worke 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ppr work on e villa. ne pipe insulation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>ppr pipe  fittings on villa e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 xml:space="preserve">he fix posters insulation for water pipe line 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Abo-Abdullah-Villa</t>
        </is>
      </c>
      <c r="I22" s="34">
        <f>IFERROR(IF(SUM(C21:G21)&gt;24,"إجمالي &gt; 24 ساعة.",SUM(C21:G21)), "")</f>
        <v/>
      </c>
      <c r="J22" s="70" t="inlineStr">
        <is>
          <t xml:space="preserve">he fix Ac in Baba home 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Abo-Abdullah-Villa</t>
        </is>
      </c>
      <c r="I23" s="28">
        <f>IFERROR(IF(SUM(C23:G23)&gt;24,"إجمالي &gt; 24 ساعة.",SUM(C23:G23)), "")</f>
        <v/>
      </c>
      <c r="J23" s="70" t="inlineStr">
        <is>
          <t>Ac fix in Baba home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Home`s Mr.Abdullah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Home`s Mr.Abdullah</t>
        </is>
      </c>
      <c r="I25" s="28">
        <f>IFERROR(IF(SUM(C25:G25)&gt;24,"إجمالي &gt; 24 ساعة.",SUM(C25:G25)), "")</f>
        <v/>
      </c>
      <c r="J25" s="70" t="inlineStr">
        <is>
          <t xml:space="preserve">he remove play area shade in arbab home 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Home`s Mr.Abdullah</t>
        </is>
      </c>
      <c r="I26" s="34">
        <f>IFERROR(IF(SUM(C26:G26)&gt;24,"إجمالي &gt; 24 ساعة.",SUM(C26:G26)), "")</f>
        <v/>
      </c>
      <c r="J26" s="70" t="inlineStr">
        <is>
          <t>painting pipe for shade arbab home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Karama Complex</t>
        </is>
      </c>
      <c r="I27" s="28">
        <f>IFERROR(IF(SUM(C27:G27)&gt;24,"إجمالي &gt; 24 ساعة.",SUM(C27:G27)), "")</f>
        <v/>
      </c>
      <c r="J27" s="70" t="inlineStr">
        <is>
          <t xml:space="preserve">he paint pipe for arbab  home  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Karama Complex</t>
        </is>
      </c>
      <c r="I28" s="34">
        <f>IFERROR(IF(SUM(C28:G28)&gt;24,"إجمالي &gt; 24 ساعة.",SUM(C28:G28)), "")</f>
        <v/>
      </c>
      <c r="J28" s="70" t="inlineStr">
        <is>
          <t>he broke toilet floor  villa 4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Abo-Abdullah-Villa 3hrs + Al Karama Complex 5hrs</t>
        </is>
      </c>
      <c r="I29" s="28">
        <f>IFERROR(IF(SUM(C29:G29)&gt;24,"إجمالي &gt; 24 ساعة.",SUM(C29:G29)), "")</f>
        <v/>
      </c>
      <c r="J29" s="70" t="inlineStr">
        <is>
          <t xml:space="preserve">he clean mainhol in Baba home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</t>
        </is>
      </c>
      <c r="I30" s="34">
        <f>IFERROR(IF(SUM(C30:G30)&gt;24,"إجمالي &gt; 24 ساعة.",SUM(C30:G30)), "")</f>
        <v/>
      </c>
      <c r="J30" s="70" t="inlineStr">
        <is>
          <t>he fix WC and washbisan in villa 4.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>
        <v>1</v>
      </c>
      <c r="F31" s="68" t="n"/>
      <c r="G31" s="26">
        <f>IF(B31="SL","SL","")</f>
        <v/>
      </c>
      <c r="H31" s="69" t="inlineStr">
        <is>
          <t>Home`s Mr.Abdullah</t>
        </is>
      </c>
      <c r="I31" s="28">
        <f>IFERROR(IF(SUM(C31:G31)&gt;24,"إجمالي &gt; 24 ساعة.",SUM(C31:G31)), "")</f>
        <v/>
      </c>
      <c r="J31" s="70" t="inlineStr">
        <is>
          <t xml:space="preserve">Weekly off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Karama Complex</t>
        </is>
      </c>
      <c r="I32" s="34">
        <f>IFERROR(IF(SUM(C32:G32)&gt;24,"إجمالي &gt; 24 ساعة.",SUM(C32:G32)), "")</f>
        <v/>
      </c>
      <c r="J32" s="70" t="inlineStr">
        <is>
          <t>he painting pipe for arbab home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Karama Complex</t>
        </is>
      </c>
      <c r="I33" s="28">
        <f>IFERROR(IF(SUM(C33:G33)&gt;24,"إجمالي &gt; 24 ساعة.",SUM(C33:G33)), "")</f>
        <v/>
      </c>
      <c r="J33" s="70" t="inlineStr">
        <is>
          <t xml:space="preserve">he fixed pipe also cleaning work 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Home`s Mr.Abdullah</t>
        </is>
      </c>
      <c r="I34" s="34">
        <f>IFERROR(IF(SUM(C34:G34)&gt;24,"إجمالي &gt; 24 ساعة.",SUM(C34:G34)), "")</f>
        <v/>
      </c>
      <c r="J34" s="70" t="inlineStr">
        <is>
          <t xml:space="preserve">ply area. shade fixing 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Home`s Mr.Abdullah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Karama Complex</t>
        </is>
      </c>
      <c r="I36" s="34">
        <f>IFERROR(IF(SUM(C36:G36)&gt;24,"إجمالي &gt; 24 ساعة.",SUM(C36:G36)), "")</f>
        <v/>
      </c>
      <c r="J36" s="70" t="inlineStr">
        <is>
          <t xml:space="preserve">he make water pump and bed with Bilal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Abo-Abdullah-Villa</t>
        </is>
      </c>
      <c r="I37" s="28">
        <f>IFERROR(IF(SUM(C37:G37)&gt;24,"إجمالي &gt; 24 ساعة.",SUM(C37:G37)), "")</f>
        <v/>
      </c>
      <c r="J37" s="70" t="inlineStr">
        <is>
          <t xml:space="preserve">he put insulation on av pipe 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H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 xml:space="preserve">holiday. new. year </t>
        </is>
      </c>
    </row>
    <row r="8" ht="32" customHeight="1" s="44">
      <c r="A8" s="62" t="n">
        <v>46024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Home`s Mr.Abdullah 3hrs + Saqia 20 5hrs</t>
        </is>
      </c>
      <c r="I8" s="34">
        <f>IFERROR(IF(SUM(C8:G8)&gt;24,"إجمالي &gt; 24 ساعة.",SUM(C8:G8)), "")</f>
        <v/>
      </c>
      <c r="J8" s="70" t="inlineStr">
        <is>
          <t>painting  of tandoori cover. also pipe make in. p20</t>
        </is>
      </c>
    </row>
    <row r="9" ht="32" customHeight="1" s="44">
      <c r="A9" s="61" t="n">
        <v>46025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Abo-Abdullah-Villa 4hrs + Al Karama Complex 4hrs</t>
        </is>
      </c>
      <c r="I9" s="28">
        <f>IFERROR(IF(SUM(C9:G9)&gt;24,"إجمالي &gt; 24 ساعة.",SUM(C9:G9)), "")</f>
        <v/>
      </c>
      <c r="J9" s="70" t="inlineStr">
        <is>
          <t>he. open drain pipe in Baba home. karam 2 make shade  for tank</t>
        </is>
      </c>
    </row>
    <row r="10" ht="32" customHeight="1" s="44">
      <c r="A10" s="62" t="n">
        <v>46026</v>
      </c>
      <c r="B10" s="71" t="inlineStr">
        <is>
          <t>W</t>
        </is>
      </c>
      <c r="C10" s="72" t="n">
        <v>8</v>
      </c>
      <c r="D10" s="71" t="n"/>
      <c r="E10" s="73" t="n">
        <v>2</v>
      </c>
      <c r="F10" s="74" t="n"/>
      <c r="G10" s="29">
        <f>IF(B10="SL","SL","")</f>
        <v/>
      </c>
      <c r="H10" s="75" t="inlineStr">
        <is>
          <t>Home`s Mr.Abdullah</t>
        </is>
      </c>
      <c r="I10" s="34">
        <f>IFERROR(IF(SUM(C10:G10)&gt;24,"إجمالي &gt; 24 ساعة.",SUM(C10:G10)), "")</f>
        <v/>
      </c>
      <c r="J10" s="70" t="inlineStr">
        <is>
          <t xml:space="preserve">Weekly off also 130 v water  pump works </t>
        </is>
      </c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painting work in 130 villa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 4hrs + Al Saada Complex 4hrs</t>
        </is>
      </c>
      <c r="I12" s="34">
        <f>IFERROR(IF(SUM(C12:G12)&gt;24,"إجمالي &gt; 24 ساعة.",SUM(C12:G12)), "")</f>
        <v/>
      </c>
      <c r="J12" s="70" t="inlineStr">
        <is>
          <t xml:space="preserve">we painting 130 villa. also fix leaking in e villa . 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Abo-Abdullah-Villa 5hrs + Home`s Mr.Abdullah 3hrs</t>
        </is>
      </c>
      <c r="I13" s="28">
        <f>IFERROR(IF(SUM(C13:G13)&gt;24,"إجمالي &gt; 24 ساعة.",SUM(C13:G13)), "")</f>
        <v/>
      </c>
      <c r="J13" s="70" t="inlineStr">
        <is>
          <t xml:space="preserve">he fix cealling in  Baba home. also painting 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>painting work in 130 villa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Ciramic work in arbab home 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>alkarama cleaning and machine fix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>
        <v>1</v>
      </c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cleaning work week off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Abo-Abdullah-Villa</t>
        </is>
      </c>
      <c r="I18" s="34">
        <f>IFERROR(IF(SUM(C18:G18)&gt;24,"إجمالي &gt; 24 ساعة.",SUM(C18:G18)), "")</f>
        <v/>
      </c>
      <c r="J18" s="70" t="inlineStr">
        <is>
          <t xml:space="preserve">he fix light and switch. cleaning in alkarama come 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Home`s Mr.Abdullah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. also electric work light change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</t>
        </is>
      </c>
      <c r="I20" s="34">
        <f>IFERROR(IF(SUM(C20:G20)&gt;24,"إجمالي &gt; 24 ساعة.",SUM(C20:G20)), "")</f>
        <v/>
      </c>
      <c r="J20" s="70" t="inlineStr">
        <is>
          <t xml:space="preserve">he changed pump in Masjid alkarama 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Masjid Al Karama</t>
        </is>
      </c>
      <c r="I21" s="28">
        <f>IFERROR(IF(SUM(C21:G21)&gt;24,"إجمالي &gt; 24 ساعة.",SUM(C21:G21)), "")</f>
        <v/>
      </c>
      <c r="J21" s="70" t="inlineStr">
        <is>
          <t>ha change light and shatoff in Masjid toilet area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Abo-Abdullah-Villa</t>
        </is>
      </c>
      <c r="I22" s="34">
        <f>IFERROR(IF(SUM(C21:G21)&gt;24,"إجمالي &gt; 24 ساعة.",SUM(C21:G21)), "")</f>
        <v/>
      </c>
      <c r="J22" s="70" t="inlineStr">
        <is>
          <t>he fix Ac in Baba home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Home`s Mr.Abdullah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Home`s Mr.Abdullah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Home`s Mr.Abdullah</t>
        </is>
      </c>
      <c r="I25" s="28">
        <f>IFERROR(IF(SUM(C25:G25)&gt;24,"إجمالي &gt; 24 ساعة.",SUM(C25:G25)), "")</f>
        <v/>
      </c>
      <c r="J25" s="70" t="inlineStr">
        <is>
          <t xml:space="preserve">he remove play area  shade in arbab home 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Home`s Mr.Abdullah</t>
        </is>
      </c>
      <c r="I26" s="34">
        <f>IFERROR(IF(SUM(C26:G26)&gt;24,"إجمالي &gt; 24 ساعة.",SUM(C26:G26)), "")</f>
        <v/>
      </c>
      <c r="J26" s="70" t="inlineStr">
        <is>
          <t>painting work in arbab home. shadepaint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Karama Complex</t>
        </is>
      </c>
      <c r="I27" s="28">
        <f>IFERROR(IF(SUM(C27:G27)&gt;24,"إجمالي &gt; 24 ساعة.",SUM(C27:G27)), "")</f>
        <v/>
      </c>
      <c r="J27" s="70" t="inlineStr">
        <is>
          <t>he shift. pipe in arbab home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Karama Complex</t>
        </is>
      </c>
      <c r="I28" s="34">
        <f>IFERROR(IF(SUM(C28:G28)&gt;24,"إجمالي &gt; 24 ساعة.",SUM(C28:G28)), "")</f>
        <v/>
      </c>
      <c r="J28" s="70" t="inlineStr">
        <is>
          <t xml:space="preserve">he broke toilet floor also. transfer materials 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Home`s Mr.Abdullah 3hrs + Al Karama Complex 5hrs</t>
        </is>
      </c>
      <c r="I29" s="28">
        <f>IFERROR(IF(SUM(C29:G29)&gt;24,"إجمالي &gt; 24 ساعة.",SUM(C29:G29)), "")</f>
        <v/>
      </c>
      <c r="J29" s="70" t="inlineStr">
        <is>
          <t xml:space="preserve">shifting sand for villa 4.also open pipe in arbab home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</t>
        </is>
      </c>
      <c r="I30" s="34">
        <f>IFERROR(IF(SUM(C30:G30)&gt;24,"إجمالي &gt; 24 ساعة.",SUM(C30:G30)), "")</f>
        <v/>
      </c>
      <c r="J30" s="70" t="inlineStr">
        <is>
          <t xml:space="preserve">he fix WC and washbisan in villa 4 . also grouting works 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>
        <v>2</v>
      </c>
      <c r="F31" s="68" t="n"/>
      <c r="G31" s="26">
        <f>IF(B31="SL","SL","")</f>
        <v/>
      </c>
      <c r="H31" s="69" t="inlineStr">
        <is>
          <t>Home`s Mr.Abdullah</t>
        </is>
      </c>
      <c r="I31" s="28">
        <f>IFERROR(IF(SUM(C31:G31)&gt;24,"إجمالي &gt; 24 ساعة.",SUM(C31:G31)), "")</f>
        <v/>
      </c>
      <c r="J31" s="70" t="inlineStr">
        <is>
          <t xml:space="preserve">Weekly off also  villa 2 water pump check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Karama Complex</t>
        </is>
      </c>
      <c r="I32" s="34">
        <f>IFERROR(IF(SUM(C32:G32)&gt;24,"إجمالي &gt; 24 ساعة.",SUM(C32:G32)), "")</f>
        <v/>
      </c>
      <c r="J32" s="70" t="inlineStr">
        <is>
          <t xml:space="preserve">he make  water pump. also cleaning work 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Home`s Mr.Abdullah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also fix pip 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Home`s Mr.Abdullah</t>
        </is>
      </c>
      <c r="I34" s="34">
        <f>IFERROR(IF(SUM(C34:G34)&gt;24,"إجمالي &gt; 24 ساعة.",SUM(C34:G34)), "")</f>
        <v/>
      </c>
      <c r="J34" s="70" t="inlineStr">
        <is>
          <t xml:space="preserve">ply area. shade fixing 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Home`s Mr.Abdullah</t>
        </is>
      </c>
      <c r="I35" s="28">
        <f>IFERROR(IF(SUM(C35:G35)&gt;24,"إجمالي &gt; 24 ساعة.",SUM(C35:G35)), "")</f>
        <v/>
      </c>
      <c r="J35" s="70" t="inlineStr">
        <is>
          <t>he fix. play are. shade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Karama Complex</t>
        </is>
      </c>
      <c r="I36" s="34">
        <f>IFERROR(IF(SUM(C36:G36)&gt;24,"إجمالي &gt; 24 ساعة.",SUM(C36:G36)), "")</f>
        <v/>
      </c>
      <c r="J36" s="70" t="inlineStr">
        <is>
          <t xml:space="preserve">he make bed and water pump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Karama Complex</t>
        </is>
      </c>
      <c r="I37" s="28">
        <f>IFERROR(IF(SUM(C37:G37)&gt;24,"إجمالي &gt; 24 ساعة.",SUM(C37:G37)), "")</f>
        <v/>
      </c>
      <c r="J37" s="70" t="inlineStr">
        <is>
          <t xml:space="preserve">he make water pump repair 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Faya 334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Faya 334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Faya 334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Faya 334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Faya 334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Faya 334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Faya 334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Faya 334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Faya 334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Faya 334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Faya 334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Faya 334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Faya 334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Faya 334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Faya 334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Faya 334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Faya 334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Faya 334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Faya 334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Faya 334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Faya 334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Faya 334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Faya 334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Faya 334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Faya 334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Faya 334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Faya 334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Faya 334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Faya 334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Faya 334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Faya 334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Faya 334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Faya 334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Abo-Abdullah-Villa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Saeed Al Zubaidi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Abo-Abdullah-Villa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Abo-Abdullah-Villa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Saeed Al Zubaidi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Abo-Abdullah-Villa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Waleed Al Amari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Abo-Abdullah-Villa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Abo-Abdullah-Villa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Abo-Abdullah-Villa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Faya 334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Faya 334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>
        <v>4</v>
      </c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inlineStr">
        <is>
          <t>تنزيل طابوق</t>
        </is>
      </c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Faya 334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Abdullah Aljunaibi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/>
    </row>
    <row r="8" ht="32" customHeight="1" s="44">
      <c r="A8" s="62" t="n">
        <v>46024</v>
      </c>
      <c r="B8" s="71" t="inlineStr">
        <is>
          <t>H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/>
    </row>
    <row r="9" ht="32" customHeight="1" s="44">
      <c r="A9" s="61" t="n">
        <v>46025</v>
      </c>
      <c r="B9" s="68" t="inlineStr">
        <is>
          <t>W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Waleed Al Amari</t>
        </is>
      </c>
      <c r="I9" s="28">
        <f>IFERROR(IF(SUM(C9:G9)&gt;24,"إجمالي &gt; 24 ساعة.",SUM(C9:G9)), "")</f>
        <v/>
      </c>
      <c r="J9" s="70" t="n"/>
    </row>
    <row r="10" ht="32" customHeight="1" s="44">
      <c r="A10" s="62" t="n">
        <v>46026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/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/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/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/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/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/>
    </row>
    <row r="16" ht="32" customHeight="1" s="44">
      <c r="A16" s="62" t="n">
        <v>46032</v>
      </c>
      <c r="B16" s="71" t="inlineStr">
        <is>
          <t>W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/>
    </row>
    <row r="17" ht="32" customHeight="1" s="44">
      <c r="A17" s="61" t="n">
        <v>46033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/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/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/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/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/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Saqia 72</t>
        </is>
      </c>
      <c r="I22" s="34">
        <f>IFERROR(IF(SUM(C21:G21)&gt;24,"إجمالي &gt; 24 ساعة.",SUM(C21:G21)), "")</f>
        <v/>
      </c>
      <c r="J22" s="70" t="n"/>
    </row>
    <row r="23" ht="32" customHeight="1" s="44">
      <c r="A23" s="61" t="n">
        <v>46039</v>
      </c>
      <c r="B23" s="68" t="inlineStr">
        <is>
          <t>W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/>
    </row>
    <row r="24" ht="32" customHeight="1" s="44">
      <c r="A24" s="62" t="n">
        <v>46040</v>
      </c>
      <c r="B24" s="71" t="inlineStr">
        <is>
          <t>P</t>
        </is>
      </c>
      <c r="C24" s="72" t="n">
        <v>8</v>
      </c>
      <c r="D24" s="71" t="n">
        <v>2</v>
      </c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/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/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/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Abo-Abdullah-Villa</t>
        </is>
      </c>
      <c r="I27" s="28">
        <f>IFERROR(IF(SUM(C27:G27)&gt;24,"إجمالي &gt; 24 ساعة.",SUM(C27:G27)), "")</f>
        <v/>
      </c>
      <c r="J27" s="70" t="n"/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/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>
        <v>1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/>
    </row>
    <row r="30" ht="32" customHeight="1" s="44">
      <c r="A30" s="62" t="n">
        <v>46046</v>
      </c>
      <c r="B30" s="71" t="inlineStr">
        <is>
          <t>W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/>
    </row>
    <row r="31" ht="32" customHeight="1" s="44">
      <c r="A31" s="61" t="n">
        <v>46047</v>
      </c>
      <c r="B31" s="68" t="inlineStr">
        <is>
          <t>P</t>
        </is>
      </c>
      <c r="C31" s="68" t="n">
        <v>8</v>
      </c>
      <c r="D31" s="68" t="n">
        <v>2</v>
      </c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/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/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/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/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/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>
        <v>1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/>
    </row>
    <row r="37" ht="32" customHeight="1" s="44">
      <c r="A37" s="61" t="n">
        <v>46053</v>
      </c>
      <c r="B37" s="68" t="inlineStr">
        <is>
          <t>W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Salem Al Zaabi</t>
        </is>
      </c>
      <c r="I37" s="28">
        <f>IFERROR(IF(SUM(C37:G37)&gt;24,"إجمالي &gt; 24 ساعة.",SUM(C37:G37)), "")</f>
        <v/>
      </c>
      <c r="J37" s="70" t="n"/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inlineStr">
        <is>
          <t>Period: 2026-01-01 to 2026-01-31</t>
        </is>
      </c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 t="n">
        <v>248</v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46023</v>
      </c>
      <c r="B7" s="68" t="inlineStr">
        <is>
          <t>H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holiday  new year off</t>
        </is>
      </c>
    </row>
    <row r="8" ht="32" customHeight="1" s="44">
      <c r="A8" s="62" t="n">
        <v>46024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Salam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46025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46026</v>
      </c>
      <c r="B10" s="71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Weekly off </t>
        </is>
      </c>
    </row>
    <row r="11" ht="32" customHeight="1" s="44">
      <c r="A11" s="61" t="n">
        <v>46027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in villa </t>
        </is>
      </c>
    </row>
    <row r="12" ht="32" customHeight="1" s="44">
      <c r="A12" s="62" t="n">
        <v>46028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46029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46030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 xml:space="preserve">cleaning work in villa </t>
        </is>
      </c>
    </row>
    <row r="15" ht="32" customHeight="1" s="44">
      <c r="A15" s="61" t="n">
        <v>46031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46032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46033</v>
      </c>
      <c r="B17" s="68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Weekly off </t>
        </is>
      </c>
    </row>
    <row r="18" ht="32" customHeight="1" s="44">
      <c r="A18" s="62" t="n">
        <v>46034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</t>
        </is>
      </c>
    </row>
    <row r="19" ht="32" customHeight="1" s="44">
      <c r="A19" s="61" t="n">
        <v>46035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46036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46037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 xml:space="preserve">Cleaning work in villa </t>
        </is>
      </c>
    </row>
    <row r="22" ht="32" customHeight="1" s="44">
      <c r="A22" s="62" t="n">
        <v>46038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46039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46040</v>
      </c>
      <c r="B24" s="71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Weekly off </t>
        </is>
      </c>
    </row>
    <row r="25" ht="32" customHeight="1" s="44">
      <c r="A25" s="61" t="n">
        <v>46041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 xml:space="preserve">Cleaning work in villa </t>
        </is>
      </c>
    </row>
    <row r="26" ht="32" customHeight="1" s="44">
      <c r="A26" s="62" t="n">
        <v>46042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</t>
        </is>
      </c>
    </row>
    <row r="27" ht="32" customHeight="1" s="44">
      <c r="A27" s="61" t="n">
        <v>46043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</t>
        </is>
      </c>
    </row>
    <row r="28" ht="32" customHeight="1" s="44">
      <c r="A28" s="62" t="n">
        <v>46044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 xml:space="preserve">door painting also. he give water to plant </t>
        </is>
      </c>
    </row>
    <row r="29" ht="32" customHeight="1" s="44">
      <c r="A29" s="61" t="n">
        <v>46045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46046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46047</v>
      </c>
      <c r="B31" s="68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Weekly off </t>
        </is>
      </c>
    </row>
    <row r="32" ht="32" customHeight="1" s="44">
      <c r="A32" s="62" t="n">
        <v>46048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46049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46050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. also gate looking </t>
        </is>
      </c>
    </row>
    <row r="35" ht="32" customHeight="1" s="44">
      <c r="A35" s="61" t="n">
        <v>46051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</t>
        </is>
      </c>
    </row>
    <row r="36" ht="32" customHeight="1" s="44">
      <c r="A36" s="62" t="n">
        <v>46052</v>
      </c>
      <c r="B36" s="76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 xml:space="preserve">he 🌵 planting with hafiz </t>
        </is>
      </c>
    </row>
    <row r="37" ht="32" customHeight="1" s="44">
      <c r="A37" s="61" t="n">
        <v>46053</v>
      </c>
      <c r="B37" s="68" t="inlineStr">
        <is>
          <t>P</t>
        </is>
      </c>
      <c r="C37" s="68" t="n">
        <v>8</v>
      </c>
      <c r="D37" s="68" t="n"/>
      <c r="E37" s="68" t="n"/>
      <c r="F37" s="68" t="n"/>
      <c r="G37" s="26" t="n"/>
      <c r="H37" s="69" t="inlineStr">
        <is>
          <t>Al Saada Complex</t>
        </is>
      </c>
      <c r="I37" s="28">
        <f>IFERROR(IF(SUM(C37:G37)&gt;24,"إجمالي &gt; 24 ساعة.",SUM(C37:G37)), "")</f>
        <v/>
      </c>
      <c r="J37" s="70" t="inlineStr">
        <is>
          <t xml:space="preserve">Cleaning work in villa </t>
        </is>
      </c>
    </row>
    <row r="38" ht="30" customHeight="1" s="44">
      <c r="A38" s="54" t="inlineStr">
        <is>
          <t>إجمالي عدد الساعات :</t>
        </is>
      </c>
      <c r="B38" s="77" t="n"/>
      <c r="C38" s="78">
        <f>SUM(C7:C37) -  (COUNTIF(B7:B37, "AWO") * 8)</f>
        <v/>
      </c>
      <c r="D38" s="79">
        <f>IFERROR(SUM(D7:D37), "")</f>
        <v/>
      </c>
      <c r="E38" s="79">
        <f>IFERROR(SUM(E7:E37), "")</f>
        <v/>
      </c>
      <c r="F38" s="79">
        <f>IFERROR(SUM(F7:F37), "")</f>
        <v/>
      </c>
      <c r="G38" s="13" t="n"/>
      <c r="H38" s="80" t="n"/>
      <c r="I38" s="32" t="inlineStr">
        <is>
          <t>الملاحظات :</t>
        </is>
      </c>
      <c r="J38" s="81" t="n"/>
    </row>
    <row r="39" ht="30" customHeight="1" s="44">
      <c r="A39" s="54" t="inlineStr">
        <is>
          <t>إجمالي عدد ايام الدوام :</t>
        </is>
      </c>
      <c r="B39" s="77" t="n"/>
      <c r="C39" s="82">
        <f>COUNTIF(B7:B37, "P") + COUNTIF(B7:B37, "W") + COUNTIF(B7:B37, "H") + COUNTIF(B7:B37, "A") + COUNTIF(B7:B37, "AWO")-C40</f>
        <v/>
      </c>
      <c r="D39" s="82" t="n"/>
      <c r="E39" s="82" t="n"/>
      <c r="F39" s="82" t="n"/>
      <c r="G39" s="35" t="inlineStr">
        <is>
          <t>الاجازات المرضية</t>
        </is>
      </c>
      <c r="H39" s="83">
        <f>COUNTIF(B7:B37,"sl")</f>
        <v/>
      </c>
      <c r="I39" s="46">
        <f>COUNTIFS(G7:G37, "SL", G7:G37, "&lt;=3")</f>
        <v/>
      </c>
      <c r="J39" s="81" t="n"/>
    </row>
    <row r="40" ht="37.2" customHeight="1" s="44">
      <c r="A40" s="54" t="inlineStr">
        <is>
          <t>إجمالي عدد ايام الغياب :</t>
        </is>
      </c>
      <c r="B40" s="77" t="n"/>
      <c r="C40" s="82">
        <f>COUNTIF(B7:B37,"A")+COUNTIF(B7:B37,"AWO")*2</f>
        <v/>
      </c>
      <c r="D40" s="82" t="n"/>
      <c r="E40" s="82" t="n"/>
      <c r="F40" s="82" t="n"/>
      <c r="G40" s="33" t="inlineStr">
        <is>
          <t>قيمة الخصم الاضافي</t>
        </is>
      </c>
      <c r="H40" s="84" t="n">
        <v>0</v>
      </c>
      <c r="I40" s="47" t="n"/>
      <c r="J40" s="81" t="n"/>
    </row>
    <row r="41" ht="37.2" customHeight="1" s="44">
      <c r="A41" s="54" t="inlineStr">
        <is>
          <t>قيمة الخصم :</t>
        </is>
      </c>
      <c r="B41" s="77" t="n"/>
      <c r="C41" s="85">
        <f>COUNTIF(B7:B37,"AWO") * 2 * I3 +COUNTIF(B7:B37, "A") * I3</f>
        <v/>
      </c>
      <c r="D41" s="82" t="n"/>
      <c r="E41" s="82" t="n"/>
      <c r="F41" s="86" t="n"/>
      <c r="G41" s="35" t="inlineStr">
        <is>
          <t>مجموع الخصم :</t>
        </is>
      </c>
      <c r="H41" s="84">
        <f>SUM(C41+H40)</f>
        <v/>
      </c>
      <c r="I41" s="48" t="n"/>
      <c r="J41" s="81" t="n"/>
    </row>
    <row r="42" ht="37.2" customHeight="1" s="44">
      <c r="A42" s="54" t="inlineStr">
        <is>
          <t>إجمالي الأجر بعد الخصم :</t>
        </is>
      </c>
      <c r="B42" s="77" t="n"/>
      <c r="C42" s="87">
        <f>IF(F4="January", I2/248*C38, "")</f>
        <v/>
      </c>
      <c r="D42" s="87">
        <f>IFERROR(I2/248*1.25*D38, "")</f>
        <v/>
      </c>
      <c r="E42" s="87">
        <f>IFERROR(I2/248*1.5*E38, "")</f>
        <v/>
      </c>
      <c r="F42" s="87">
        <f>IFERROR(I2/248*2.5*F38, "")</f>
        <v/>
      </c>
      <c r="G42" s="66" t="inlineStr">
        <is>
          <t>: الإجمالي</t>
        </is>
      </c>
      <c r="H42" s="77" t="n"/>
      <c r="I42" s="67">
        <f>IFERROR(SUM(C42:F42), "") - H40</f>
        <v/>
      </c>
      <c r="J42" s="81" t="n"/>
    </row>
    <row r="43" ht="34.2" customHeight="1" s="44">
      <c r="A43" s="17" t="inlineStr">
        <is>
          <t xml:space="preserve">التاريخ : </t>
        </is>
      </c>
      <c r="B43" s="88">
        <f>TODAY()</f>
        <v/>
      </c>
      <c r="C43" s="89" t="n"/>
      <c r="D43" s="90" t="inlineStr">
        <is>
          <t xml:space="preserve">توقيع الموظف : </t>
        </is>
      </c>
      <c r="E43" s="90" t="n"/>
      <c r="F43" s="90" t="n"/>
      <c r="G43" s="23" t="inlineStr">
        <is>
          <t xml:space="preserve">توقيع المدير : </t>
        </is>
      </c>
      <c r="H43" s="91" t="n"/>
      <c r="I43" s="18" t="n"/>
      <c r="J43" s="81" t="n"/>
    </row>
    <row r="44">
      <c r="A44" s="19" t="n"/>
      <c r="B44" s="92" t="n"/>
      <c r="C44" s="92" t="n"/>
      <c r="D44" s="92" t="n"/>
      <c r="E44" s="92" t="n"/>
      <c r="F44" s="92" t="n"/>
      <c r="G44" s="19" t="n"/>
      <c r="H44" s="92" t="n"/>
      <c r="I44" s="19" t="n"/>
      <c r="J44" s="81" t="n"/>
    </row>
    <row r="45">
      <c r="A45" s="19" t="n"/>
      <c r="B45" s="92" t="n"/>
      <c r="C45" s="92" t="n"/>
      <c r="D45" s="92" t="n"/>
      <c r="E45" s="92" t="n"/>
      <c r="F45" s="92" t="n"/>
      <c r="G45" s="19" t="n"/>
      <c r="H45" s="92" t="n"/>
      <c r="I45" s="19" t="n"/>
      <c r="J45" s="81" t="n"/>
    </row>
    <row r="46">
      <c r="B46" s="81" t="n"/>
      <c r="C46" s="81" t="n"/>
      <c r="D46" s="81" t="n"/>
      <c r="E46" s="81" t="n"/>
      <c r="F46" s="81" t="n"/>
      <c r="H46" s="81" t="n"/>
      <c r="J46" s="81" t="n"/>
    </row>
    <row r="47">
      <c r="B47" s="81" t="n"/>
      <c r="C47" s="81" t="n"/>
      <c r="D47" s="81" t="n"/>
      <c r="E47" s="81" t="n"/>
      <c r="F47" s="81" t="n"/>
      <c r="H47" s="81" t="n"/>
      <c r="J47" s="81" t="n"/>
    </row>
    <row r="48">
      <c r="B48" s="81" t="n"/>
      <c r="C48" s="81" t="n"/>
      <c r="D48" s="81" t="n"/>
      <c r="E48" s="81" t="n"/>
      <c r="F48" s="81" t="n"/>
      <c r="H48" s="81" t="n"/>
      <c r="J48" s="81" t="n"/>
    </row>
    <row r="49">
      <c r="B49" s="81" t="n"/>
      <c r="C49" s="81" t="n"/>
      <c r="D49" s="81" t="n"/>
      <c r="E49" s="81" t="n"/>
      <c r="F49" s="81" t="n"/>
      <c r="H49" s="81" t="n"/>
      <c r="J49" s="81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2026-02-04T10:30:59Z</dcterms:modified>
  <cp:lastModifiedBy>Office</cp:lastModifiedBy>
  <cp:lastPrinted>2025-12-31T10:30:34Z</cp:lastPrinted>
</cp:coreProperties>
</file>